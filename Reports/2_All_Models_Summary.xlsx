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d models-50 varieties" sheetId="1" r:id="rId4"/>
    <sheet state="visible" name="2d models-50 varieties" sheetId="2" r:id="rId5"/>
    <sheet state="visible" name="Band_Selection" sheetId="3" r:id="rId6"/>
    <sheet state="visible" name="3d models-var" sheetId="4" r:id="rId7"/>
    <sheet state="visible" name="Final Models" sheetId="5" r:id="rId8"/>
    <sheet state="visible" name="Species" sheetId="6" r:id="rId9"/>
    <sheet state="visible" name="Geographic" sheetId="7" r:id="rId10"/>
  </sheets>
  <definedNames/>
  <calcPr/>
</workbook>
</file>

<file path=xl/sharedStrings.xml><?xml version="1.0" encoding="utf-8"?>
<sst xmlns="http://schemas.openxmlformats.org/spreadsheetml/2006/main" count="1038" uniqueCount="320">
  <si>
    <t>3D Models</t>
  </si>
  <si>
    <t>Model Name</t>
  </si>
  <si>
    <t>Structure</t>
  </si>
  <si>
    <t>Batch Size</t>
  </si>
  <si>
    <t>No. of parameters</t>
  </si>
  <si>
    <t>Optimizer</t>
  </si>
  <si>
    <t>Initial learning rate</t>
  </si>
  <si>
    <t>LR Scheduler</t>
  </si>
  <si>
    <t>Weight decay</t>
  </si>
  <si>
    <t>Early Stopping</t>
  </si>
  <si>
    <t>Epochs</t>
  </si>
  <si>
    <t>Time/Epoch</t>
  </si>
  <si>
    <t>Memory</t>
  </si>
  <si>
    <t>Training acc.</t>
  </si>
  <si>
    <t>Validation acc.</t>
  </si>
  <si>
    <t>Test acc.</t>
  </si>
  <si>
    <t>Avg. Precision</t>
  </si>
  <si>
    <t>Avg. Recall</t>
  </si>
  <si>
    <t>Avg. F1 Score</t>
  </si>
  <si>
    <t>Kappa Coefficient</t>
  </si>
  <si>
    <t>ResNet3D-34</t>
  </si>
  <si>
    <t>pg_resnet34_3d_01</t>
  </si>
  <si>
    <t>[3,4,6,3], [16,32,64,128]</t>
  </si>
  <si>
    <t>~ 40 lacs</t>
  </si>
  <si>
    <t>sgd</t>
  </si>
  <si>
    <t>ReduceLROnPlateau</t>
  </si>
  <si>
    <t>no</t>
  </si>
  <si>
    <t>180 sec</t>
  </si>
  <si>
    <t>15875/16384 MiB</t>
  </si>
  <si>
    <t>pg_resnet34_3d_02</t>
  </si>
  <si>
    <t>pg_resnet34_3d_03</t>
  </si>
  <si>
    <t>adam</t>
  </si>
  <si>
    <t>pg_resnet34_3d_04</t>
  </si>
  <si>
    <t>yes</t>
  </si>
  <si>
    <t>40/100</t>
  </si>
  <si>
    <t>pg_resnet34_3d_05</t>
  </si>
  <si>
    <t>47/100</t>
  </si>
  <si>
    <t>DenseNet3D-121</t>
  </si>
  <si>
    <t>pg_densenet121_3d_01</t>
  </si>
  <si>
    <t>[6,12,24,16], k=12</t>
  </si>
  <si>
    <t>~16.71 lacs</t>
  </si>
  <si>
    <t>335 sec</t>
  </si>
  <si>
    <t>15563/16384 MiB</t>
  </si>
  <si>
    <t>pg_densenet121_3d_02</t>
  </si>
  <si>
    <t>[3,6,12,8], k=12</t>
  </si>
  <si>
    <t>~6.70 lacs</t>
  </si>
  <si>
    <t>205 sec</t>
  </si>
  <si>
    <t>12873/16384 MiB</t>
  </si>
  <si>
    <t>pg_densenet121_3d_03</t>
  </si>
  <si>
    <t>[6,12,24,16], k=6</t>
  </si>
  <si>
    <t>~4.55 lacs</t>
  </si>
  <si>
    <t>220 sec</t>
  </si>
  <si>
    <t>15227/16384 MiB</t>
  </si>
  <si>
    <t>pg_densenet121_3d_04</t>
  </si>
  <si>
    <t>[2,4,8,5], k=18</t>
  </si>
  <si>
    <t>195 sec</t>
  </si>
  <si>
    <t>pg_densenet121_3d_05</t>
  </si>
  <si>
    <t>[2,3,6,4], k=24</t>
  </si>
  <si>
    <t>215 sec</t>
  </si>
  <si>
    <t>pg_densenet121_3d_06</t>
  </si>
  <si>
    <t>Warm-Up with Cosine</t>
  </si>
  <si>
    <t>15/100</t>
  </si>
  <si>
    <t>pg_densenet121_3d_07</t>
  </si>
  <si>
    <t>46/100</t>
  </si>
  <si>
    <t>pg_densenet121_3d_08</t>
  </si>
  <si>
    <t>185 sec</t>
  </si>
  <si>
    <t>pg_densenet121_3d_09</t>
  </si>
  <si>
    <t>100/100</t>
  </si>
  <si>
    <t>pg_densenet121_3d_10</t>
  </si>
  <si>
    <t>StepLR</t>
  </si>
  <si>
    <t>86/100</t>
  </si>
  <si>
    <t>pg_densenet121_3d_11</t>
  </si>
  <si>
    <t>70/100</t>
  </si>
  <si>
    <t>pg_densenet121_3d_12</t>
  </si>
  <si>
    <t>41/100</t>
  </si>
  <si>
    <t>pg_densenet121_3d_13</t>
  </si>
  <si>
    <t>ConvNeXt3D</t>
  </si>
  <si>
    <t>pg_convnext3d_01</t>
  </si>
  <si>
    <t>[24,48,96,192]</t>
  </si>
  <si>
    <t>~ 28 lacs</t>
  </si>
  <si>
    <t>adamw</t>
  </si>
  <si>
    <t>250 sec</t>
  </si>
  <si>
    <t>6881/16384 MiB</t>
  </si>
  <si>
    <t>pg_convnext3d_02</t>
  </si>
  <si>
    <t>[18,36,72,144]</t>
  </si>
  <si>
    <t>~ 17 lacs</t>
  </si>
  <si>
    <t>210 sec</t>
  </si>
  <si>
    <t>pg_convnext3d_03</t>
  </si>
  <si>
    <t>190 sec</t>
  </si>
  <si>
    <t>pg_convnext3d_04</t>
  </si>
  <si>
    <t>240 sec</t>
  </si>
  <si>
    <t>16131/16384 MiB</t>
  </si>
  <si>
    <t>pg_convnext3d_05</t>
  </si>
  <si>
    <t>[16,32,64,128]</t>
  </si>
  <si>
    <t>~ 14 lacs</t>
  </si>
  <si>
    <t>170 sec</t>
  </si>
  <si>
    <t>15917/16384 MiB</t>
  </si>
  <si>
    <t>pg_convnext3d_06</t>
  </si>
  <si>
    <t>[32,64,128,256]</t>
  </si>
  <si>
    <t>~ 48 lacs</t>
  </si>
  <si>
    <t>305 sec</t>
  </si>
  <si>
    <t>8669/16384 MiB</t>
  </si>
  <si>
    <t>pg_convnext3d_07</t>
  </si>
  <si>
    <t>230 sec</t>
  </si>
  <si>
    <t>12277/16384 MiB</t>
  </si>
  <si>
    <t>pg_convnext3d_08</t>
  </si>
  <si>
    <t>5145/16384 MiB</t>
  </si>
  <si>
    <t>pg_convnext3d_09</t>
  </si>
  <si>
    <t>245 sec</t>
  </si>
  <si>
    <t>pg_convnext3d_10</t>
  </si>
  <si>
    <t>pg_convnext3d_11</t>
  </si>
  <si>
    <t>49/100</t>
  </si>
  <si>
    <t>8715/16384 MiB</t>
  </si>
  <si>
    <t>pg_convnext3d_12</t>
  </si>
  <si>
    <t>48/100</t>
  </si>
  <si>
    <t>235 sec</t>
  </si>
  <si>
    <t>pg_convnext3d_13</t>
  </si>
  <si>
    <t>44/100</t>
  </si>
  <si>
    <t>295 sec</t>
  </si>
  <si>
    <t>pg_convnext3d_14</t>
  </si>
  <si>
    <t>65/100</t>
  </si>
  <si>
    <t>pg_convnext3d_15</t>
  </si>
  <si>
    <t>74/100</t>
  </si>
  <si>
    <t>pg_convnext3d_16</t>
  </si>
  <si>
    <t>81/100</t>
  </si>
  <si>
    <t>300 sec</t>
  </si>
  <si>
    <t>2D Models</t>
  </si>
  <si>
    <t>pg_resnet34_2d_01</t>
  </si>
  <si>
    <t>[3,4,6,3], [64,128,256,512]</t>
  </si>
  <si>
    <t>~ 214 lacs</t>
  </si>
  <si>
    <t>39/100</t>
  </si>
  <si>
    <t>545 sec</t>
  </si>
  <si>
    <t>12063/16384 MiB</t>
  </si>
  <si>
    <t>pg_densenet121_2d_01</t>
  </si>
  <si>
    <t>[6,12,24,16], k=32</t>
  </si>
  <si>
    <t>~70.80 lacs</t>
  </si>
  <si>
    <t>21/100</t>
  </si>
  <si>
    <t>670 sec</t>
  </si>
  <si>
    <t>12409/16384 MiB</t>
  </si>
  <si>
    <t>pg_convnext2d_01</t>
  </si>
  <si>
    <t>[96,192,384,768]</t>
  </si>
  <si>
    <t>~ 280 lacs</t>
  </si>
  <si>
    <t>23/100</t>
  </si>
  <si>
    <t>1100 sec</t>
  </si>
  <si>
    <t>16149/16384 MiB</t>
  </si>
  <si>
    <t>pg_resnet34_2d_mod_01</t>
  </si>
  <si>
    <t>~ 14.32 lacs</t>
  </si>
  <si>
    <t>55/100</t>
  </si>
  <si>
    <t>470 sec</t>
  </si>
  <si>
    <t>14889/16384 MiB</t>
  </si>
  <si>
    <t>pg_densenet121_2d_mod_01</t>
  </si>
  <si>
    <t>~ 3.88 lacs</t>
  </si>
  <si>
    <t>45/100</t>
  </si>
  <si>
    <t>490 sec</t>
  </si>
  <si>
    <t>11313/16384 MiB</t>
  </si>
  <si>
    <t>-</t>
  </si>
  <si>
    <t>pg_convnext2d_mod_01</t>
  </si>
  <si>
    <t>~ 20 lacs</t>
  </si>
  <si>
    <t>27/100</t>
  </si>
  <si>
    <t>500 sec</t>
  </si>
  <si>
    <t>12365/16384 MiB</t>
  </si>
  <si>
    <t>Band Selection</t>
  </si>
  <si>
    <t>Input Size</t>
  </si>
  <si>
    <t>eta</t>
  </si>
  <si>
    <t>optimizer</t>
  </si>
  <si>
    <t>BSNet-Conv</t>
  </si>
  <si>
    <t>14 x 14 x 147</t>
  </si>
  <si>
    <t>1451/16384 MiB</t>
  </si>
  <si>
    <t>DA_Rec_Net</t>
  </si>
  <si>
    <t>4803/16384 MiB</t>
  </si>
  <si>
    <t>TA_Rec_Net</t>
  </si>
  <si>
    <t>1923/16384 MiB</t>
  </si>
  <si>
    <t>SBAN</t>
  </si>
  <si>
    <t>28 x 28 x 147</t>
  </si>
  <si>
    <t>Model</t>
  </si>
  <si>
    <t xml:space="preserve">No. of bands </t>
  </si>
  <si>
    <t>sban25</t>
  </si>
  <si>
    <t>54 sec</t>
  </si>
  <si>
    <t>4639/16384</t>
  </si>
  <si>
    <t>sban50</t>
  </si>
  <si>
    <t>72 sec</t>
  </si>
  <si>
    <t>8211/16384</t>
  </si>
  <si>
    <t>sban75</t>
  </si>
  <si>
    <t>98 sec</t>
  </si>
  <si>
    <t>11623/16384</t>
  </si>
  <si>
    <t>sban100</t>
  </si>
  <si>
    <t>127 sec</t>
  </si>
  <si>
    <t>14937/16384</t>
  </si>
  <si>
    <t>sban125</t>
  </si>
  <si>
    <t>154 sec</t>
  </si>
  <si>
    <t>13723/16384</t>
  </si>
  <si>
    <t>bsnetconv25</t>
  </si>
  <si>
    <t>bsnetconv50</t>
  </si>
  <si>
    <t>bsnetconv75</t>
  </si>
  <si>
    <t>bsnetconv100</t>
  </si>
  <si>
    <t>bsnetconv125</t>
  </si>
  <si>
    <t>danet25</t>
  </si>
  <si>
    <t>4727/16384</t>
  </si>
  <si>
    <t>danet50</t>
  </si>
  <si>
    <t>8229/16384</t>
  </si>
  <si>
    <t>danet75</t>
  </si>
  <si>
    <t>11627/16384</t>
  </si>
  <si>
    <t>danet100</t>
  </si>
  <si>
    <t>14931/16384</t>
  </si>
  <si>
    <t>danet125</t>
  </si>
  <si>
    <t>13707/16384</t>
  </si>
  <si>
    <t>tanet25</t>
  </si>
  <si>
    <t>tanet50</t>
  </si>
  <si>
    <t>tanet75</t>
  </si>
  <si>
    <t>11639/16384</t>
  </si>
  <si>
    <t>tanet100</t>
  </si>
  <si>
    <t>tanet125</t>
  </si>
  <si>
    <t>Test Accuracy</t>
  </si>
  <si>
    <t>No. of Bands</t>
  </si>
  <si>
    <t>DARecNet-BS</t>
  </si>
  <si>
    <t>TAMSRecNet</t>
  </si>
  <si>
    <t>50 bands</t>
  </si>
  <si>
    <t>99, 125, 112, 128, 132, 116, 122, 134, 124, 111, 118,
         98, 95, 129, 123, 133, 131, 94, 130, 117, 126, 108, 106,
         110, 136, 105, 121, 138, 101, 97, 115, 107, 92, 127, 119,
         103, 140, 102, 139, 100, 93, 104, 135, 114, 109, 145, 146,
         120, 113, 96</t>
  </si>
  <si>
    <t>91, 144, 136, 134, 135, 143, 87, 146, 139, 93, 137, 88,
         145, 92, 89, 138, 140, 142, 86, 82, 132, 117, 84, 127, 129,
         90, 94, 131, 133, 141, 124, 85, 83, 80, 125, 128, 130, 108,
         123, 95, 119, 122, 118, 114, 120, 96, 115, 121, 126, 112</t>
  </si>
  <si>
    <t>96, 112, 116, 122, 113, 105, 106, 97, 104, 126, 120, 121, 124, 114, 125,
         117, 109, 103, 129, 108, 98, 101, 111, 99, 127, 107, 123, 115, 128, 118,
         131, 95, 130, 110, 119, 102, 137, 94, 146, 136, 134, 100, 140, 138, 145,
         133, 144, 132, 135, 142</t>
  </si>
  <si>
    <t>89,  54,   6,   1,  93,  70,  87,  74, 144,  23,  79,  40,  78,
        102,  33,  47, 133,   7,  11, 118,  81, 116,  55,  14, 124,   8,
         34,  65,  52,  29,  92, 117,  32,  16,  66,  84, 134,  19, 125,
         13, 128,  28,  51,  21,  27,  12,  91, 121,  20,  24</t>
  </si>
  <si>
    <t>3d models</t>
  </si>
  <si>
    <t>pg_resnet34_3d_10var</t>
  </si>
  <si>
    <t>37 sec</t>
  </si>
  <si>
    <t>15877/16384 MiB</t>
  </si>
  <si>
    <t>pg_resnet34_3d_20var</t>
  </si>
  <si>
    <t>54/100</t>
  </si>
  <si>
    <t>15883/16384 MiB</t>
  </si>
  <si>
    <t>pg_resnet34_3d_30var</t>
  </si>
  <si>
    <t>25/100</t>
  </si>
  <si>
    <t>pg_resnet34_3d_40var</t>
  </si>
  <si>
    <t>pg_densenet121_3d_10var</t>
  </si>
  <si>
    <t>~4.47 lacs</t>
  </si>
  <si>
    <t>44 sec</t>
  </si>
  <si>
    <t>pg_densenet121_3d_20var</t>
  </si>
  <si>
    <t>~4.49 lacs</t>
  </si>
  <si>
    <t>88 sec</t>
  </si>
  <si>
    <t>pg_densenet121_3d_30var</t>
  </si>
  <si>
    <t>~4.51 lacs</t>
  </si>
  <si>
    <t>132 sec</t>
  </si>
  <si>
    <t>pg_densenet121_3d_40var</t>
  </si>
  <si>
    <t>~4.53 lacs</t>
  </si>
  <si>
    <t>174 sec</t>
  </si>
  <si>
    <t>pg_convnext3d_10var</t>
  </si>
  <si>
    <t>~28.56 lacs</t>
  </si>
  <si>
    <t>51/100</t>
  </si>
  <si>
    <t>48 sec</t>
  </si>
  <si>
    <t>12283/16384 MiB</t>
  </si>
  <si>
    <t>pg_convnext3d_20var</t>
  </si>
  <si>
    <t>~28.58 lacs</t>
  </si>
  <si>
    <t>96 sec</t>
  </si>
  <si>
    <t>12291/16384 MiB</t>
  </si>
  <si>
    <t>pg_convnext3d_30var</t>
  </si>
  <si>
    <t>50/100</t>
  </si>
  <si>
    <t>142 sec</t>
  </si>
  <si>
    <t>pg_convnext3d_40var</t>
  </si>
  <si>
    <t>~28.62 lacs</t>
  </si>
  <si>
    <t>82/100</t>
  </si>
  <si>
    <t>190 sc</t>
  </si>
  <si>
    <t>Varieties</t>
  </si>
  <si>
    <t>3D-ResNet</t>
  </si>
  <si>
    <t>3D-DenseNet</t>
  </si>
  <si>
    <t>3D-ConvNext</t>
  </si>
  <si>
    <t>Resnet-34</t>
  </si>
  <si>
    <t xml:space="preserve">Trial No. </t>
  </si>
  <si>
    <t>3D-DenseNet-121</t>
  </si>
  <si>
    <t>3D-ConvNext-T</t>
  </si>
  <si>
    <t>33/100</t>
  </si>
  <si>
    <t>Avg</t>
  </si>
  <si>
    <t>DenseNet-121</t>
  </si>
  <si>
    <t xml:space="preserve">Epochs </t>
  </si>
  <si>
    <t>Training Accuracy</t>
  </si>
  <si>
    <t>Validation Accuracy</t>
  </si>
  <si>
    <t>71/100</t>
  </si>
  <si>
    <t>87/100</t>
  </si>
  <si>
    <t>ConvNext-T</t>
  </si>
  <si>
    <t>Time/Epoch (sec)</t>
  </si>
  <si>
    <t>Total Time</t>
  </si>
  <si>
    <t>270 sec</t>
  </si>
  <si>
    <t>84/100</t>
  </si>
  <si>
    <t>2D-ResNet</t>
  </si>
  <si>
    <t>2D-DenseNet-121</t>
  </si>
  <si>
    <t>2D-ConvNext-T</t>
  </si>
  <si>
    <t>3d &amp; 2d models</t>
  </si>
  <si>
    <t>species_pg_resnet34_3d_01</t>
  </si>
  <si>
    <t>31/100</t>
  </si>
  <si>
    <t>species_pg_resnet34_3d_01a</t>
  </si>
  <si>
    <t>43/100</t>
  </si>
  <si>
    <t>species_pg_densenet121_3d_01</t>
  </si>
  <si>
    <t>56/100</t>
  </si>
  <si>
    <t>species_pg_convnext_3d_01</t>
  </si>
  <si>
    <t>36/100</t>
  </si>
  <si>
    <t>species_pg_resnet34_2d_01</t>
  </si>
  <si>
    <t>~ 213.62 lacs</t>
  </si>
  <si>
    <t>30/100</t>
  </si>
  <si>
    <t>550 sec</t>
  </si>
  <si>
    <t>species_pg_densenet121_2d_01</t>
  </si>
  <si>
    <t>~70.33 lacs</t>
  </si>
  <si>
    <t>640 sec</t>
  </si>
  <si>
    <t>species_pg_convnext2d_01</t>
  </si>
  <si>
    <t>35/100</t>
  </si>
  <si>
    <t>16147/16384 MiB</t>
  </si>
  <si>
    <t>mod_species_pg_resnet34_2d_01</t>
  </si>
  <si>
    <t>~14.26 lacs</t>
  </si>
  <si>
    <t>38/100</t>
  </si>
  <si>
    <t>mod_species_pg_densenet121_2d_01</t>
  </si>
  <si>
    <t>~3.78 lacs</t>
  </si>
  <si>
    <t>_</t>
  </si>
  <si>
    <t>mod_species_pg_convnext2d_01</t>
  </si>
  <si>
    <t>~19.87 lacs</t>
  </si>
  <si>
    <t>510 sec</t>
  </si>
  <si>
    <t>Train Time (min)</t>
  </si>
  <si>
    <t>geo_pg_resnet34_3d_01</t>
  </si>
  <si>
    <t>geo_pg_densenet121_3d_01</t>
  </si>
  <si>
    <t>geo_pg_convnext_3d_01</t>
  </si>
  <si>
    <t>geo_pg_resnet34_2d_01</t>
  </si>
  <si>
    <t>geo_pg_densenet121_2d_01</t>
  </si>
  <si>
    <t>660 sec</t>
  </si>
  <si>
    <t>geo_pg_convnext2d_01</t>
  </si>
  <si>
    <t>1110 sec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</si>
</sst>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sz val="11.0"/>
      <color theme="1"/>
      <name val="Arial"/>
    </font>
    <font/>
    <font>
      <color theme="1"/>
      <name val="Arial"/>
    </font>
    <font>
      <b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rgb="FFFF00FF"/>
        <bgColor rgb="FFFF00FF"/>
      </patternFill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1" fillId="3" fontId="2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164" xfId="0" applyAlignment="1" applyBorder="1" applyFont="1" applyNumberFormat="1">
      <alignment horizontal="right" readingOrder="0"/>
    </xf>
    <xf borderId="1" fillId="0" fontId="2" numFmtId="0" xfId="0" applyBorder="1" applyFont="1"/>
    <xf borderId="0" fillId="0" fontId="3" numFmtId="164" xfId="0" applyAlignment="1" applyFont="1" applyNumberFormat="1">
      <alignment horizontal="right" readingOrder="0"/>
    </xf>
    <xf borderId="1" fillId="0" fontId="3" numFmtId="164" xfId="0" applyAlignment="1" applyBorder="1" applyFont="1" applyNumberFormat="1">
      <alignment readingOrder="0"/>
    </xf>
    <xf borderId="0" fillId="4" fontId="1" numFmtId="0" xfId="0" applyAlignment="1" applyFill="1" applyFont="1">
      <alignment readingOrder="0"/>
    </xf>
    <xf borderId="1" fillId="0" fontId="1" numFmtId="0" xfId="0" applyAlignment="1" applyBorder="1" applyFont="1">
      <alignment readingOrder="0"/>
    </xf>
    <xf borderId="1" fillId="0" fontId="2" numFmtId="11" xfId="0" applyAlignment="1" applyBorder="1" applyFont="1" applyNumberFormat="1">
      <alignment readingOrder="0"/>
    </xf>
    <xf borderId="0" fillId="0" fontId="4" numFmtId="0" xfId="0" applyAlignment="1" applyFont="1">
      <alignment readingOrder="0"/>
    </xf>
    <xf borderId="2" fillId="0" fontId="1" numFmtId="0" xfId="0" applyAlignment="1" applyBorder="1" applyFont="1">
      <alignment horizontal="center" readingOrder="0"/>
    </xf>
    <xf borderId="3" fillId="0" fontId="5" numFmtId="0" xfId="0" applyBorder="1" applyFont="1"/>
    <xf borderId="4" fillId="0" fontId="5" numFmtId="0" xfId="0" applyBorder="1" applyFont="1"/>
    <xf borderId="1" fillId="0" fontId="1" numFmtId="0" xfId="0" applyAlignment="1" applyBorder="1" applyFont="1">
      <alignment horizontal="center" readingOrder="0"/>
    </xf>
    <xf borderId="0" fillId="5" fontId="1" numFmtId="0" xfId="0" applyAlignment="1" applyFill="1" applyFont="1">
      <alignment readingOrder="0"/>
    </xf>
    <xf borderId="1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readingOrder="0" vertical="bottom"/>
    </xf>
    <xf borderId="0" fillId="6" fontId="1" numFmtId="0" xfId="0" applyAlignment="1" applyFill="1" applyFont="1">
      <alignment readingOrder="0"/>
    </xf>
    <xf borderId="1" fillId="3" fontId="2" numFmtId="0" xfId="0" applyAlignment="1" applyBorder="1" applyFont="1">
      <alignment horizontal="left" readingOrder="0"/>
    </xf>
    <xf borderId="1" fillId="3" fontId="2" numFmtId="164" xfId="0" applyBorder="1" applyFont="1" applyNumberFormat="1"/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left" readingOrder="0"/>
    </xf>
    <xf borderId="1" fillId="0" fontId="2" numFmtId="164" xfId="0" applyAlignment="1" applyBorder="1" applyFont="1" applyNumberFormat="1">
      <alignment horizontal="center"/>
    </xf>
    <xf borderId="1" fillId="3" fontId="2" numFmtId="0" xfId="0" applyAlignment="1" applyBorder="1" applyFont="1">
      <alignment horizontal="left"/>
    </xf>
    <xf borderId="1" fillId="0" fontId="1" numFmtId="0" xfId="0" applyAlignment="1" applyBorder="1" applyFont="1">
      <alignment horizontal="center"/>
    </xf>
    <xf borderId="4" fillId="0" fontId="7" numFmtId="0" xfId="0" applyAlignment="1" applyBorder="1" applyFont="1">
      <alignment horizontal="center" readingOrder="0" vertical="bottom"/>
    </xf>
    <xf borderId="5" fillId="0" fontId="6" numFmtId="0" xfId="0" applyAlignment="1" applyBorder="1" applyFont="1">
      <alignment horizontal="center" readingOrder="0" vertical="bottom"/>
    </xf>
    <xf borderId="1" fillId="0" fontId="2" numFmtId="1" xfId="0" applyBorder="1" applyFont="1" applyNumberFormat="1"/>
    <xf borderId="0" fillId="0" fontId="2" numFmtId="0" xfId="0" applyFont="1"/>
    <xf borderId="0" fillId="0" fontId="2" numFmtId="164" xfId="0" applyAlignment="1" applyFont="1" applyNumberFormat="1">
      <alignment readingOrder="0"/>
    </xf>
    <xf borderId="1" fillId="0" fontId="3" numFmtId="164" xfId="0" applyAlignment="1" applyBorder="1" applyFont="1" applyNumberFormat="1">
      <alignment horizontal="center" readingOrder="0"/>
    </xf>
    <xf borderId="1" fillId="3" fontId="2" numFmtId="0" xfId="0" applyBorder="1" applyFont="1"/>
    <xf borderId="1" fillId="0" fontId="3" numFmtId="0" xfId="0" applyBorder="1" applyFont="1"/>
    <xf borderId="1" fillId="0" fontId="7" numFmtId="0" xfId="0" applyAlignment="1" applyBorder="1" applyFont="1">
      <alignment horizontal="center" readingOrder="0"/>
    </xf>
    <xf borderId="1" fillId="0" fontId="7" numFmtId="0" xfId="0" applyAlignment="1" applyBorder="1" applyFont="1">
      <alignment readingOrder="0"/>
    </xf>
    <xf borderId="6" fillId="0" fontId="6" numFmtId="0" xfId="0" applyAlignment="1" applyBorder="1" applyFont="1">
      <alignment readingOrder="0"/>
    </xf>
    <xf borderId="1" fillId="0" fontId="6" numFmtId="0" xfId="0" applyAlignment="1" applyBorder="1" applyFont="1">
      <alignment readingOrder="0" vertical="bottom"/>
    </xf>
    <xf borderId="6" fillId="0" fontId="6" numFmtId="0" xfId="0" applyAlignment="1" applyBorder="1" applyFont="1">
      <alignment horizontal="center" readingOrder="0"/>
    </xf>
    <xf borderId="0" fillId="0" fontId="2" numFmtId="1" xfId="0" applyFont="1" applyNumberFormat="1"/>
    <xf borderId="6" fillId="0" fontId="6" numFmtId="0" xfId="0" applyAlignment="1" applyBorder="1" applyFont="1">
      <alignment readingOrder="0" vertical="bottom"/>
    </xf>
    <xf borderId="0" fillId="7" fontId="1" numFmtId="0" xfId="0" applyAlignment="1" applyFill="1" applyFont="1">
      <alignment readingOrder="0"/>
    </xf>
    <xf borderId="1" fillId="0" fontId="3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Varieties Analysis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'3d models-var'!$F$20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5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'3d models-var'!$E$21:$E$25</c:f>
            </c:strRef>
          </c:cat>
          <c:val>
            <c:numRef>
              <c:f>'3d models-var'!$F$21:$F$25</c:f>
              <c:numCache/>
            </c:numRef>
          </c:val>
          <c:smooth val="0"/>
        </c:ser>
        <c:ser>
          <c:idx val="1"/>
          <c:order val="1"/>
          <c:tx>
            <c:strRef>
              <c:f>'3d models-var'!$G$20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5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'3d models-var'!$E$21:$E$25</c:f>
            </c:strRef>
          </c:cat>
          <c:val>
            <c:numRef>
              <c:f>'3d models-var'!$G$21:$G$25</c:f>
              <c:numCache/>
            </c:numRef>
          </c:val>
          <c:smooth val="0"/>
        </c:ser>
        <c:ser>
          <c:idx val="2"/>
          <c:order val="2"/>
          <c:tx>
            <c:strRef>
              <c:f>'3d models-var'!$H$20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5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'3d models-var'!$E$21:$E$25</c:f>
            </c:strRef>
          </c:cat>
          <c:val>
            <c:numRef>
              <c:f>'3d models-var'!$H$21:$H$25</c:f>
              <c:numCache/>
            </c:numRef>
          </c:val>
          <c:smooth val="0"/>
        </c:ser>
        <c:axId val="634549529"/>
        <c:axId val="1939939961"/>
      </c:lineChart>
      <c:catAx>
        <c:axId val="6345495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3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300">
                    <a:solidFill>
                      <a:srgbClr val="000000"/>
                    </a:solidFill>
                    <a:latin typeface="+mn-lt"/>
                  </a:rPr>
                  <a:t>No. of Varieties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9939961"/>
      </c:catAx>
      <c:valAx>
        <c:axId val="1939939961"/>
        <c:scaling>
          <c:orientation val="minMax"/>
          <c:min val="0.7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3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300">
                    <a:solidFill>
                      <a:srgbClr val="000000"/>
                    </a:solidFill>
                    <a:latin typeface="+mn-lt"/>
                  </a:rPr>
                  <a:t>Test Accuracy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45495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49</xdr:row>
      <xdr:rowOff>0</xdr:rowOff>
    </xdr:from>
    <xdr:ext cx="6838950" cy="45910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49</xdr:row>
      <xdr:rowOff>0</xdr:rowOff>
    </xdr:from>
    <xdr:ext cx="6838950" cy="45910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77</xdr:row>
      <xdr:rowOff>0</xdr:rowOff>
    </xdr:from>
    <xdr:ext cx="9429750" cy="3714750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942975</xdr:colOff>
      <xdr:row>18</xdr:row>
      <xdr:rowOff>9525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22.63"/>
    <col customWidth="1" min="3" max="3" width="21.13"/>
    <col customWidth="1" min="4" max="4" width="9.5"/>
    <col customWidth="1" min="5" max="5" width="14.5"/>
    <col customWidth="1" min="6" max="6" width="9.25"/>
    <col customWidth="1" min="7" max="7" width="14.88"/>
    <col customWidth="1" min="8" max="8" width="17.63"/>
    <col customWidth="1" min="9" max="9" width="11.0"/>
    <col customWidth="1" min="10" max="10" width="12.25"/>
    <col customWidth="1" min="13" max="13" width="14.75"/>
  </cols>
  <sheetData>
    <row r="1">
      <c r="A1" s="1" t="s">
        <v>0</v>
      </c>
    </row>
    <row r="2">
      <c r="A2" s="2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</row>
    <row r="3">
      <c r="A3" s="3" t="s">
        <v>20</v>
      </c>
    </row>
    <row r="4">
      <c r="B4" s="2" t="s">
        <v>21</v>
      </c>
      <c r="C4" s="2" t="s">
        <v>22</v>
      </c>
      <c r="D4" s="2">
        <v>64.0</v>
      </c>
      <c r="E4" s="2" t="s">
        <v>23</v>
      </c>
      <c r="F4" s="2" t="s">
        <v>24</v>
      </c>
      <c r="G4" s="2">
        <v>0.01</v>
      </c>
      <c r="H4" s="2" t="s">
        <v>25</v>
      </c>
      <c r="I4" s="2">
        <v>1.0E-4</v>
      </c>
      <c r="J4" s="2" t="s">
        <v>26</v>
      </c>
      <c r="K4" s="2">
        <v>30.0</v>
      </c>
      <c r="L4" s="2" t="s">
        <v>27</v>
      </c>
      <c r="M4" s="2" t="s">
        <v>28</v>
      </c>
      <c r="N4" s="2">
        <v>0.9984</v>
      </c>
      <c r="O4" s="2">
        <v>0.9165</v>
      </c>
    </row>
    <row r="5">
      <c r="B5" s="2" t="s">
        <v>29</v>
      </c>
      <c r="C5" s="2" t="s">
        <v>22</v>
      </c>
      <c r="D5" s="2">
        <v>64.0</v>
      </c>
      <c r="E5" s="2" t="s">
        <v>23</v>
      </c>
      <c r="F5" s="2" t="s">
        <v>24</v>
      </c>
      <c r="G5" s="2">
        <v>0.01</v>
      </c>
      <c r="H5" s="2" t="s">
        <v>25</v>
      </c>
      <c r="I5" s="2">
        <v>0.001</v>
      </c>
      <c r="J5" s="2" t="s">
        <v>26</v>
      </c>
      <c r="K5" s="2">
        <v>40.0</v>
      </c>
      <c r="L5" s="2" t="s">
        <v>27</v>
      </c>
      <c r="M5" s="2" t="s">
        <v>28</v>
      </c>
      <c r="N5" s="2">
        <v>0.999</v>
      </c>
      <c r="O5" s="2">
        <v>0.9553</v>
      </c>
    </row>
    <row r="6">
      <c r="B6" s="2" t="s">
        <v>30</v>
      </c>
      <c r="C6" s="2" t="s">
        <v>22</v>
      </c>
      <c r="D6" s="2">
        <v>64.0</v>
      </c>
      <c r="E6" s="2" t="s">
        <v>23</v>
      </c>
      <c r="F6" s="2" t="s">
        <v>31</v>
      </c>
      <c r="G6" s="2">
        <v>0.001</v>
      </c>
      <c r="H6" s="2" t="s">
        <v>25</v>
      </c>
      <c r="I6" s="2">
        <v>0.001</v>
      </c>
      <c r="J6" s="2" t="s">
        <v>26</v>
      </c>
      <c r="K6" s="2">
        <v>40.0</v>
      </c>
      <c r="L6" s="2" t="s">
        <v>27</v>
      </c>
      <c r="M6" s="2" t="s">
        <v>28</v>
      </c>
      <c r="N6" s="2">
        <v>0.9984</v>
      </c>
      <c r="O6" s="2">
        <v>0.9473</v>
      </c>
    </row>
    <row r="7">
      <c r="B7" s="2" t="s">
        <v>32</v>
      </c>
      <c r="C7" s="2" t="s">
        <v>22</v>
      </c>
      <c r="D7" s="2">
        <v>64.0</v>
      </c>
      <c r="E7" s="2" t="s">
        <v>23</v>
      </c>
      <c r="F7" s="2" t="s">
        <v>24</v>
      </c>
      <c r="G7" s="2">
        <v>0.001</v>
      </c>
      <c r="H7" s="2" t="s">
        <v>25</v>
      </c>
      <c r="I7" s="2">
        <v>0.001</v>
      </c>
      <c r="J7" s="2" t="s">
        <v>33</v>
      </c>
      <c r="K7" s="2" t="s">
        <v>34</v>
      </c>
      <c r="L7" s="2" t="s">
        <v>27</v>
      </c>
      <c r="M7" s="2" t="s">
        <v>28</v>
      </c>
      <c r="N7" s="2">
        <v>0.9994</v>
      </c>
      <c r="O7" s="2">
        <v>0.9468</v>
      </c>
      <c r="P7" s="2">
        <v>0.9576</v>
      </c>
      <c r="Q7" s="2">
        <v>0.96</v>
      </c>
      <c r="R7" s="2">
        <v>0.96</v>
      </c>
    </row>
    <row r="8">
      <c r="B8" s="4" t="s">
        <v>35</v>
      </c>
      <c r="C8" s="4" t="s">
        <v>22</v>
      </c>
      <c r="D8" s="5">
        <v>64.0</v>
      </c>
      <c r="E8" s="5" t="s">
        <v>23</v>
      </c>
      <c r="F8" s="5" t="s">
        <v>24</v>
      </c>
      <c r="G8" s="5">
        <v>0.001</v>
      </c>
      <c r="H8" s="5" t="s">
        <v>25</v>
      </c>
      <c r="I8" s="5">
        <v>0.01</v>
      </c>
      <c r="J8" s="5" t="s">
        <v>33</v>
      </c>
      <c r="K8" s="5" t="s">
        <v>36</v>
      </c>
      <c r="L8" s="5" t="s">
        <v>27</v>
      </c>
      <c r="M8" s="5" t="s">
        <v>28</v>
      </c>
      <c r="N8" s="5">
        <v>0.9999</v>
      </c>
      <c r="O8" s="5">
        <v>0.9586</v>
      </c>
      <c r="P8" s="5">
        <v>0.9821</v>
      </c>
      <c r="Q8" s="5">
        <v>0.9869</v>
      </c>
      <c r="R8" s="5">
        <v>0.9821</v>
      </c>
      <c r="S8" s="5">
        <v>0.9814</v>
      </c>
      <c r="T8" s="5">
        <v>0.9817</v>
      </c>
    </row>
    <row r="9">
      <c r="A9" s="3"/>
    </row>
    <row r="10">
      <c r="A10" s="3"/>
    </row>
    <row r="11">
      <c r="A11" s="3" t="s">
        <v>37</v>
      </c>
    </row>
    <row r="12">
      <c r="B12" s="2" t="s">
        <v>38</v>
      </c>
      <c r="C12" s="2" t="s">
        <v>39</v>
      </c>
      <c r="D12" s="2">
        <v>32.0</v>
      </c>
      <c r="E12" s="2" t="s">
        <v>40</v>
      </c>
      <c r="F12" s="2" t="s">
        <v>24</v>
      </c>
      <c r="G12" s="2">
        <v>0.01</v>
      </c>
      <c r="H12" s="2" t="s">
        <v>25</v>
      </c>
      <c r="I12" s="2">
        <v>0.001</v>
      </c>
      <c r="J12" s="2" t="s">
        <v>26</v>
      </c>
      <c r="K12" s="2">
        <v>40.0</v>
      </c>
      <c r="L12" s="2" t="s">
        <v>41</v>
      </c>
      <c r="M12" s="2" t="s">
        <v>42</v>
      </c>
      <c r="N12" s="2">
        <v>0.9994</v>
      </c>
      <c r="O12" s="2">
        <v>0.9061</v>
      </c>
    </row>
    <row r="13">
      <c r="B13" s="2" t="s">
        <v>43</v>
      </c>
      <c r="C13" s="2" t="s">
        <v>44</v>
      </c>
      <c r="D13" s="2">
        <v>32.0</v>
      </c>
      <c r="E13" s="2" t="s">
        <v>45</v>
      </c>
      <c r="F13" s="2" t="s">
        <v>24</v>
      </c>
      <c r="G13" s="2">
        <v>0.001</v>
      </c>
      <c r="H13" s="2" t="s">
        <v>25</v>
      </c>
      <c r="I13" s="2">
        <v>0.001</v>
      </c>
      <c r="J13" s="2" t="s">
        <v>26</v>
      </c>
      <c r="K13" s="2">
        <v>40.0</v>
      </c>
      <c r="L13" s="2" t="s">
        <v>46</v>
      </c>
      <c r="M13" s="2" t="s">
        <v>47</v>
      </c>
      <c r="N13" s="2">
        <v>0.9823</v>
      </c>
      <c r="O13" s="2">
        <v>0.8671</v>
      </c>
    </row>
    <row r="14">
      <c r="B14" s="2" t="s">
        <v>48</v>
      </c>
      <c r="C14" s="2" t="s">
        <v>49</v>
      </c>
      <c r="D14" s="2">
        <v>32.0</v>
      </c>
      <c r="E14" s="2" t="s">
        <v>50</v>
      </c>
      <c r="F14" s="2" t="s">
        <v>24</v>
      </c>
      <c r="G14" s="2">
        <v>0.001</v>
      </c>
      <c r="H14" s="2" t="s">
        <v>25</v>
      </c>
      <c r="I14" s="2">
        <v>0.01</v>
      </c>
      <c r="J14" s="2" t="s">
        <v>26</v>
      </c>
      <c r="K14" s="2">
        <v>40.0</v>
      </c>
      <c r="L14" s="2" t="s">
        <v>51</v>
      </c>
      <c r="M14" s="2" t="s">
        <v>52</v>
      </c>
      <c r="N14" s="2">
        <v>0.9981</v>
      </c>
      <c r="O14" s="2">
        <v>0.964</v>
      </c>
    </row>
    <row r="15">
      <c r="B15" s="2" t="s">
        <v>53</v>
      </c>
      <c r="C15" s="2" t="s">
        <v>54</v>
      </c>
      <c r="D15" s="2">
        <v>32.0</v>
      </c>
      <c r="F15" s="2" t="s">
        <v>24</v>
      </c>
      <c r="G15" s="2">
        <v>0.001</v>
      </c>
      <c r="H15" s="2" t="s">
        <v>25</v>
      </c>
      <c r="I15" s="2">
        <v>0.01</v>
      </c>
      <c r="J15" s="2" t="s">
        <v>26</v>
      </c>
      <c r="K15" s="2">
        <v>40.0</v>
      </c>
      <c r="L15" s="2" t="s">
        <v>55</v>
      </c>
      <c r="N15" s="2">
        <v>0.9991</v>
      </c>
      <c r="O15" s="2">
        <v>0.9605</v>
      </c>
    </row>
    <row r="16">
      <c r="B16" s="2" t="s">
        <v>56</v>
      </c>
      <c r="C16" s="2" t="s">
        <v>57</v>
      </c>
      <c r="D16" s="2">
        <v>32.0</v>
      </c>
      <c r="F16" s="2" t="s">
        <v>24</v>
      </c>
      <c r="G16" s="2">
        <v>0.001</v>
      </c>
      <c r="H16" s="2" t="s">
        <v>25</v>
      </c>
      <c r="I16" s="2">
        <v>0.01</v>
      </c>
      <c r="J16" s="2" t="s">
        <v>26</v>
      </c>
      <c r="K16" s="2">
        <v>50.0</v>
      </c>
      <c r="L16" s="2" t="s">
        <v>58</v>
      </c>
      <c r="N16" s="2">
        <v>0.9992</v>
      </c>
      <c r="O16" s="2">
        <v>0.9621</v>
      </c>
    </row>
    <row r="17">
      <c r="B17" s="2" t="s">
        <v>59</v>
      </c>
      <c r="C17" s="2" t="s">
        <v>49</v>
      </c>
      <c r="D17" s="2">
        <v>32.0</v>
      </c>
      <c r="E17" s="2" t="s">
        <v>50</v>
      </c>
      <c r="F17" s="2" t="s">
        <v>24</v>
      </c>
      <c r="G17" s="2">
        <v>5.0E-4</v>
      </c>
      <c r="H17" s="2" t="s">
        <v>60</v>
      </c>
      <c r="I17" s="2">
        <v>0.05</v>
      </c>
      <c r="J17" s="2" t="s">
        <v>33</v>
      </c>
      <c r="K17" s="2" t="s">
        <v>61</v>
      </c>
      <c r="L17" s="2" t="s">
        <v>51</v>
      </c>
      <c r="M17" s="2" t="s">
        <v>52</v>
      </c>
      <c r="N17" s="2">
        <v>0.5979</v>
      </c>
      <c r="O17" s="2">
        <v>0.0544</v>
      </c>
      <c r="P17" s="2">
        <v>0.0649</v>
      </c>
      <c r="Q17" s="2">
        <v>0.05</v>
      </c>
      <c r="R17" s="2">
        <v>0.06</v>
      </c>
    </row>
    <row r="18">
      <c r="B18" s="2" t="s">
        <v>62</v>
      </c>
      <c r="C18" s="2" t="s">
        <v>44</v>
      </c>
      <c r="D18" s="2">
        <v>32.0</v>
      </c>
      <c r="E18" s="2" t="s">
        <v>45</v>
      </c>
      <c r="F18" s="2" t="s">
        <v>24</v>
      </c>
      <c r="G18" s="2">
        <v>1.0E-4</v>
      </c>
      <c r="H18" s="2" t="s">
        <v>25</v>
      </c>
      <c r="I18" s="2">
        <v>0.05</v>
      </c>
      <c r="J18" s="2" t="s">
        <v>33</v>
      </c>
      <c r="K18" s="2" t="s">
        <v>63</v>
      </c>
      <c r="L18" s="2" t="s">
        <v>46</v>
      </c>
      <c r="M18" s="2" t="s">
        <v>47</v>
      </c>
      <c r="N18" s="2">
        <v>0.6112</v>
      </c>
      <c r="O18" s="2">
        <v>0.6021</v>
      </c>
      <c r="P18" s="2">
        <v>0.6186</v>
      </c>
      <c r="Q18" s="2">
        <v>0.61</v>
      </c>
      <c r="R18" s="2">
        <v>0.62</v>
      </c>
    </row>
    <row r="19">
      <c r="B19" s="2" t="s">
        <v>64</v>
      </c>
      <c r="C19" s="2" t="s">
        <v>44</v>
      </c>
      <c r="D19" s="2">
        <v>32.0</v>
      </c>
      <c r="E19" s="2" t="s">
        <v>45</v>
      </c>
      <c r="F19" s="2" t="s">
        <v>24</v>
      </c>
      <c r="G19" s="2">
        <v>1.0E-4</v>
      </c>
      <c r="H19" s="2" t="s">
        <v>25</v>
      </c>
      <c r="I19" s="2">
        <v>0.01</v>
      </c>
      <c r="J19" s="2" t="s">
        <v>26</v>
      </c>
      <c r="K19" s="2">
        <v>50.0</v>
      </c>
      <c r="L19" s="2" t="s">
        <v>65</v>
      </c>
      <c r="M19" s="2" t="s">
        <v>47</v>
      </c>
      <c r="N19" s="2">
        <v>0.9883</v>
      </c>
      <c r="O19" s="2">
        <v>0.8781</v>
      </c>
      <c r="P19" s="2">
        <v>0.8901</v>
      </c>
      <c r="Q19" s="2">
        <v>0.89</v>
      </c>
      <c r="R19" s="2">
        <v>0.89</v>
      </c>
    </row>
    <row r="20">
      <c r="B20" s="2" t="s">
        <v>66</v>
      </c>
      <c r="C20" s="2" t="s">
        <v>49</v>
      </c>
      <c r="D20" s="2">
        <v>32.0</v>
      </c>
      <c r="E20" s="2" t="s">
        <v>50</v>
      </c>
      <c r="F20" s="2" t="s">
        <v>24</v>
      </c>
      <c r="G20" s="2">
        <v>1.0E-4</v>
      </c>
      <c r="H20" s="2" t="s">
        <v>25</v>
      </c>
      <c r="I20" s="2">
        <v>0.01</v>
      </c>
      <c r="J20" s="2" t="s">
        <v>33</v>
      </c>
      <c r="K20" s="2" t="s">
        <v>67</v>
      </c>
      <c r="L20" s="2" t="s">
        <v>51</v>
      </c>
      <c r="M20" s="2" t="s">
        <v>52</v>
      </c>
      <c r="N20" s="2">
        <v>0.9719</v>
      </c>
      <c r="O20" s="2">
        <v>0.8376</v>
      </c>
      <c r="P20" s="2">
        <v>0.8353</v>
      </c>
      <c r="Q20" s="2">
        <v>0.84</v>
      </c>
      <c r="R20" s="2">
        <v>0.84</v>
      </c>
    </row>
    <row r="21">
      <c r="B21" s="2" t="s">
        <v>68</v>
      </c>
      <c r="C21" s="2" t="s">
        <v>49</v>
      </c>
      <c r="D21" s="2">
        <v>32.0</v>
      </c>
      <c r="E21" s="2" t="s">
        <v>50</v>
      </c>
      <c r="F21" s="2" t="s">
        <v>24</v>
      </c>
      <c r="G21" s="2">
        <v>1.0E-4</v>
      </c>
      <c r="H21" s="2" t="s">
        <v>69</v>
      </c>
      <c r="I21" s="2">
        <v>0.01</v>
      </c>
      <c r="J21" s="2" t="s">
        <v>33</v>
      </c>
      <c r="K21" s="2" t="s">
        <v>70</v>
      </c>
      <c r="L21" s="2" t="s">
        <v>58</v>
      </c>
      <c r="M21" s="2" t="s">
        <v>52</v>
      </c>
      <c r="N21" s="2">
        <v>0.4791</v>
      </c>
      <c r="O21" s="2">
        <v>0.4334</v>
      </c>
      <c r="P21" s="2">
        <v>0.3892</v>
      </c>
      <c r="Q21" s="2">
        <v>0.39</v>
      </c>
      <c r="R21" s="2">
        <v>0.39</v>
      </c>
    </row>
    <row r="22">
      <c r="B22" s="2" t="s">
        <v>71</v>
      </c>
      <c r="C22" s="2" t="s">
        <v>39</v>
      </c>
      <c r="D22" s="2">
        <v>32.0</v>
      </c>
      <c r="E22" s="2" t="s">
        <v>40</v>
      </c>
      <c r="F22" s="2" t="s">
        <v>24</v>
      </c>
      <c r="G22" s="2">
        <v>1.0E-4</v>
      </c>
      <c r="H22" s="2" t="s">
        <v>69</v>
      </c>
      <c r="I22" s="2">
        <v>0.01</v>
      </c>
      <c r="J22" s="2" t="s">
        <v>33</v>
      </c>
      <c r="K22" s="2" t="s">
        <v>72</v>
      </c>
      <c r="L22" s="2" t="s">
        <v>41</v>
      </c>
      <c r="M22" s="2" t="s">
        <v>42</v>
      </c>
      <c r="N22" s="2">
        <v>0.8047</v>
      </c>
      <c r="O22" s="2">
        <v>0.6438</v>
      </c>
      <c r="P22" s="2">
        <v>0.6647</v>
      </c>
      <c r="Q22" s="2">
        <v>0.66</v>
      </c>
      <c r="R22" s="2">
        <v>0.66</v>
      </c>
    </row>
    <row r="23">
      <c r="B23" s="2" t="s">
        <v>73</v>
      </c>
      <c r="C23" s="2" t="s">
        <v>49</v>
      </c>
      <c r="D23" s="2">
        <v>32.0</v>
      </c>
      <c r="E23" s="2" t="s">
        <v>50</v>
      </c>
      <c r="F23" s="2" t="s">
        <v>24</v>
      </c>
      <c r="G23" s="2">
        <v>0.001</v>
      </c>
      <c r="H23" s="2" t="s">
        <v>69</v>
      </c>
      <c r="I23" s="2">
        <v>0.02</v>
      </c>
      <c r="J23" s="2" t="s">
        <v>33</v>
      </c>
      <c r="K23" s="2" t="s">
        <v>74</v>
      </c>
      <c r="L23" s="2" t="s">
        <v>51</v>
      </c>
      <c r="M23" s="2" t="s">
        <v>52</v>
      </c>
      <c r="N23" s="2">
        <v>0.9969</v>
      </c>
      <c r="O23" s="2">
        <v>0.9184</v>
      </c>
      <c r="P23" s="2">
        <v>0.9108</v>
      </c>
      <c r="Q23" s="2">
        <v>0.93</v>
      </c>
      <c r="R23" s="2">
        <v>0.91</v>
      </c>
    </row>
    <row r="24">
      <c r="B24" s="4" t="s">
        <v>75</v>
      </c>
      <c r="C24" s="4" t="s">
        <v>49</v>
      </c>
      <c r="D24" s="5">
        <v>32.0</v>
      </c>
      <c r="E24" s="5" t="s">
        <v>50</v>
      </c>
      <c r="F24" s="5" t="s">
        <v>24</v>
      </c>
      <c r="G24" s="5">
        <v>5.0E-4</v>
      </c>
      <c r="H24" s="5" t="s">
        <v>69</v>
      </c>
      <c r="I24" s="5">
        <v>0.025</v>
      </c>
      <c r="J24" s="5" t="s">
        <v>33</v>
      </c>
      <c r="K24" s="5" t="s">
        <v>67</v>
      </c>
      <c r="L24" s="5" t="s">
        <v>51</v>
      </c>
      <c r="M24" s="5" t="s">
        <v>52</v>
      </c>
      <c r="N24" s="5">
        <v>0.9992</v>
      </c>
      <c r="O24" s="5">
        <v>0.9687</v>
      </c>
      <c r="P24" s="5">
        <v>0.9769</v>
      </c>
      <c r="Q24" s="5">
        <v>0.9802</v>
      </c>
      <c r="R24" s="5">
        <v>0.9769</v>
      </c>
      <c r="S24" s="5">
        <v>0.9755</v>
      </c>
      <c r="T24" s="5">
        <v>0.9765</v>
      </c>
    </row>
    <row r="27">
      <c r="A27" s="3" t="s">
        <v>76</v>
      </c>
    </row>
    <row r="28">
      <c r="B28" s="2" t="s">
        <v>77</v>
      </c>
      <c r="C28" s="2" t="s">
        <v>78</v>
      </c>
      <c r="D28" s="2">
        <v>32.0</v>
      </c>
      <c r="E28" s="2" t="s">
        <v>79</v>
      </c>
      <c r="F28" s="2" t="s">
        <v>80</v>
      </c>
      <c r="G28" s="2">
        <v>0.001</v>
      </c>
      <c r="H28" s="2" t="s">
        <v>60</v>
      </c>
      <c r="I28" s="2">
        <v>0.05</v>
      </c>
      <c r="J28" s="2" t="s">
        <v>26</v>
      </c>
      <c r="K28" s="2">
        <v>50.0</v>
      </c>
      <c r="L28" s="2" t="s">
        <v>81</v>
      </c>
      <c r="M28" s="2" t="s">
        <v>82</v>
      </c>
      <c r="N28" s="2">
        <v>0.9985</v>
      </c>
      <c r="O28" s="2">
        <v>0.9631</v>
      </c>
    </row>
    <row r="29">
      <c r="B29" s="2" t="s">
        <v>83</v>
      </c>
      <c r="C29" s="2" t="s">
        <v>84</v>
      </c>
      <c r="D29" s="2">
        <v>64.0</v>
      </c>
      <c r="E29" s="2" t="s">
        <v>85</v>
      </c>
      <c r="F29" s="2" t="s">
        <v>80</v>
      </c>
      <c r="G29" s="2">
        <v>0.001</v>
      </c>
      <c r="H29" s="2" t="s">
        <v>60</v>
      </c>
      <c r="I29" s="2">
        <v>0.05</v>
      </c>
      <c r="J29" s="2" t="s">
        <v>26</v>
      </c>
      <c r="K29" s="2">
        <v>50.0</v>
      </c>
      <c r="L29" s="2" t="s">
        <v>86</v>
      </c>
      <c r="N29" s="2">
        <v>0.9932</v>
      </c>
      <c r="O29" s="2">
        <v>0.92</v>
      </c>
    </row>
    <row r="30">
      <c r="B30" s="2" t="s">
        <v>87</v>
      </c>
      <c r="C30" s="2" t="s">
        <v>84</v>
      </c>
      <c r="D30" s="2">
        <v>96.0</v>
      </c>
      <c r="E30" s="2" t="s">
        <v>85</v>
      </c>
      <c r="F30" s="2" t="s">
        <v>80</v>
      </c>
      <c r="G30" s="2">
        <v>0.004</v>
      </c>
      <c r="H30" s="2" t="s">
        <v>60</v>
      </c>
      <c r="I30" s="2">
        <v>0.05</v>
      </c>
      <c r="J30" s="2" t="s">
        <v>26</v>
      </c>
      <c r="K30" s="2">
        <v>50.0</v>
      </c>
      <c r="L30" s="2" t="s">
        <v>88</v>
      </c>
      <c r="N30" s="2">
        <v>0.997</v>
      </c>
      <c r="O30" s="2">
        <v>0.9285</v>
      </c>
      <c r="P30" s="2">
        <v>0.9393</v>
      </c>
      <c r="Q30" s="2">
        <v>0.94</v>
      </c>
      <c r="R30" s="2">
        <v>0.94</v>
      </c>
    </row>
    <row r="31">
      <c r="B31" s="2" t="s">
        <v>89</v>
      </c>
      <c r="C31" s="2" t="s">
        <v>78</v>
      </c>
      <c r="D31" s="2">
        <v>96.0</v>
      </c>
      <c r="E31" s="2" t="s">
        <v>79</v>
      </c>
      <c r="F31" s="2" t="s">
        <v>80</v>
      </c>
      <c r="G31" s="2">
        <v>0.002</v>
      </c>
      <c r="H31" s="2" t="s">
        <v>60</v>
      </c>
      <c r="I31" s="2">
        <v>0.05</v>
      </c>
      <c r="J31" s="2" t="s">
        <v>26</v>
      </c>
      <c r="K31" s="2">
        <v>50.0</v>
      </c>
      <c r="L31" s="2" t="s">
        <v>90</v>
      </c>
      <c r="M31" s="2" t="s">
        <v>91</v>
      </c>
      <c r="N31" s="2">
        <v>0.8826</v>
      </c>
      <c r="O31" s="2">
        <v>0.7379</v>
      </c>
      <c r="P31" s="2">
        <v>0.7755</v>
      </c>
      <c r="Q31" s="2">
        <v>0.78</v>
      </c>
      <c r="R31" s="2">
        <v>0.78</v>
      </c>
    </row>
    <row r="32">
      <c r="B32" s="2" t="s">
        <v>92</v>
      </c>
      <c r="C32" s="2" t="s">
        <v>93</v>
      </c>
      <c r="D32" s="2">
        <v>128.0</v>
      </c>
      <c r="E32" s="2" t="s">
        <v>94</v>
      </c>
      <c r="F32" s="2" t="s">
        <v>80</v>
      </c>
      <c r="G32" s="2">
        <v>0.002</v>
      </c>
      <c r="H32" s="2" t="s">
        <v>60</v>
      </c>
      <c r="I32" s="2">
        <v>0.05</v>
      </c>
      <c r="J32" s="2" t="s">
        <v>26</v>
      </c>
      <c r="K32" s="2">
        <v>60.0</v>
      </c>
      <c r="L32" s="2" t="s">
        <v>95</v>
      </c>
      <c r="M32" s="2" t="s">
        <v>96</v>
      </c>
      <c r="N32" s="2">
        <v>0.9946</v>
      </c>
      <c r="O32" s="2">
        <v>0.9139</v>
      </c>
      <c r="P32" s="2">
        <v>0.9494</v>
      </c>
      <c r="Q32" s="2">
        <v>0.95</v>
      </c>
      <c r="R32" s="2">
        <v>0.95</v>
      </c>
    </row>
    <row r="33">
      <c r="B33" s="2" t="s">
        <v>97</v>
      </c>
      <c r="C33" s="2" t="s">
        <v>98</v>
      </c>
      <c r="D33" s="2">
        <v>32.0</v>
      </c>
      <c r="E33" s="2" t="s">
        <v>99</v>
      </c>
      <c r="F33" s="2" t="s">
        <v>80</v>
      </c>
      <c r="G33" s="2">
        <v>0.002</v>
      </c>
      <c r="H33" s="2" t="s">
        <v>60</v>
      </c>
      <c r="I33" s="2">
        <v>0.05</v>
      </c>
      <c r="J33" s="2" t="s">
        <v>26</v>
      </c>
      <c r="K33" s="2">
        <v>50.0</v>
      </c>
      <c r="L33" s="2" t="s">
        <v>100</v>
      </c>
      <c r="M33" s="2" t="s">
        <v>101</v>
      </c>
      <c r="N33" s="2">
        <v>1.0</v>
      </c>
      <c r="O33" s="2">
        <v>0.9341</v>
      </c>
      <c r="P33" s="2">
        <v>0.9489</v>
      </c>
      <c r="Q33" s="2">
        <v>0.95</v>
      </c>
      <c r="R33" s="2">
        <v>0.95</v>
      </c>
    </row>
    <row r="34">
      <c r="B34" s="2" t="s">
        <v>102</v>
      </c>
      <c r="C34" s="2" t="s">
        <v>78</v>
      </c>
      <c r="D34" s="2">
        <v>64.0</v>
      </c>
      <c r="E34" s="2" t="s">
        <v>79</v>
      </c>
      <c r="F34" s="2" t="s">
        <v>80</v>
      </c>
      <c r="G34" s="2">
        <v>0.002</v>
      </c>
      <c r="H34" s="2" t="s">
        <v>60</v>
      </c>
      <c r="I34" s="2">
        <v>0.05</v>
      </c>
      <c r="J34" s="2" t="s">
        <v>26</v>
      </c>
      <c r="K34" s="2">
        <v>50.0</v>
      </c>
      <c r="L34" s="2" t="s">
        <v>103</v>
      </c>
      <c r="M34" s="2" t="s">
        <v>104</v>
      </c>
      <c r="N34" s="2">
        <v>0.9986</v>
      </c>
      <c r="O34" s="2">
        <v>0.8842</v>
      </c>
      <c r="P34" s="2">
        <v>0.9089</v>
      </c>
      <c r="Q34" s="2">
        <v>0.92</v>
      </c>
      <c r="R34" s="2">
        <v>0.91</v>
      </c>
    </row>
    <row r="35">
      <c r="B35" s="2" t="s">
        <v>105</v>
      </c>
      <c r="C35" s="2" t="s">
        <v>93</v>
      </c>
      <c r="D35" s="2">
        <v>32.0</v>
      </c>
      <c r="E35" s="2" t="s">
        <v>94</v>
      </c>
      <c r="F35" s="2" t="s">
        <v>80</v>
      </c>
      <c r="G35" s="2">
        <v>0.001</v>
      </c>
      <c r="H35" s="2" t="s">
        <v>60</v>
      </c>
      <c r="I35" s="2">
        <v>0.05</v>
      </c>
      <c r="J35" s="2" t="s">
        <v>26</v>
      </c>
      <c r="K35" s="2">
        <v>50.0</v>
      </c>
      <c r="L35" s="2" t="s">
        <v>65</v>
      </c>
      <c r="M35" s="2" t="s">
        <v>106</v>
      </c>
      <c r="N35" s="2">
        <v>0.9883</v>
      </c>
      <c r="O35" s="2">
        <v>0.8781</v>
      </c>
      <c r="P35" s="2">
        <v>0.8901</v>
      </c>
      <c r="Q35" s="2">
        <v>0.89</v>
      </c>
      <c r="R35" s="2">
        <v>0.89</v>
      </c>
    </row>
    <row r="36">
      <c r="B36" s="2" t="s">
        <v>107</v>
      </c>
      <c r="C36" s="2" t="s">
        <v>78</v>
      </c>
      <c r="D36" s="2">
        <v>32.0</v>
      </c>
      <c r="E36" s="2" t="s">
        <v>79</v>
      </c>
      <c r="F36" s="2" t="s">
        <v>80</v>
      </c>
      <c r="G36" s="2">
        <v>0.001</v>
      </c>
      <c r="H36" s="2" t="s">
        <v>60</v>
      </c>
      <c r="I36" s="2">
        <v>0.05</v>
      </c>
      <c r="J36" s="2" t="s">
        <v>26</v>
      </c>
      <c r="K36" s="2">
        <v>50.0</v>
      </c>
      <c r="L36" s="2" t="s">
        <v>108</v>
      </c>
      <c r="M36" s="2" t="s">
        <v>82</v>
      </c>
      <c r="N36" s="2">
        <v>0.9908</v>
      </c>
      <c r="O36" s="2">
        <v>0.9059</v>
      </c>
      <c r="P36" s="2">
        <v>0.9082</v>
      </c>
      <c r="Q36" s="2">
        <v>0.91</v>
      </c>
      <c r="R36" s="2">
        <v>0.91</v>
      </c>
    </row>
    <row r="37">
      <c r="B37" s="2" t="s">
        <v>109</v>
      </c>
      <c r="C37" s="2" t="s">
        <v>98</v>
      </c>
      <c r="D37" s="2">
        <v>32.0</v>
      </c>
      <c r="E37" s="2" t="s">
        <v>99</v>
      </c>
      <c r="F37" s="2" t="s">
        <v>80</v>
      </c>
      <c r="G37" s="2">
        <v>0.001</v>
      </c>
      <c r="H37" s="2" t="s">
        <v>60</v>
      </c>
      <c r="I37" s="2">
        <v>0.05</v>
      </c>
      <c r="J37" s="2" t="s">
        <v>26</v>
      </c>
      <c r="K37" s="2">
        <v>50.0</v>
      </c>
      <c r="L37" s="2" t="s">
        <v>100</v>
      </c>
      <c r="M37" s="2" t="s">
        <v>101</v>
      </c>
      <c r="N37" s="2">
        <v>1.0</v>
      </c>
      <c r="O37" s="2">
        <v>0.9494</v>
      </c>
      <c r="P37" s="2">
        <v>0.9466</v>
      </c>
      <c r="Q37" s="2">
        <v>0.95</v>
      </c>
      <c r="R37" s="2">
        <v>0.95</v>
      </c>
    </row>
    <row r="38">
      <c r="B38" s="2" t="s">
        <v>110</v>
      </c>
      <c r="C38" s="2" t="s">
        <v>93</v>
      </c>
      <c r="D38" s="2">
        <v>64.0</v>
      </c>
      <c r="E38" s="2" t="s">
        <v>94</v>
      </c>
      <c r="F38" s="2" t="s">
        <v>80</v>
      </c>
      <c r="G38" s="2">
        <v>5.0E-4</v>
      </c>
      <c r="H38" s="2" t="s">
        <v>60</v>
      </c>
      <c r="I38" s="2">
        <v>0.1</v>
      </c>
      <c r="J38" s="2" t="s">
        <v>33</v>
      </c>
      <c r="K38" s="2" t="s">
        <v>111</v>
      </c>
      <c r="L38" s="2" t="s">
        <v>65</v>
      </c>
      <c r="M38" s="2" t="s">
        <v>112</v>
      </c>
      <c r="N38" s="2">
        <v>0.9839</v>
      </c>
      <c r="O38" s="2">
        <v>0.9287</v>
      </c>
      <c r="P38" s="2">
        <v>0.9169</v>
      </c>
      <c r="Q38" s="2">
        <v>0.92</v>
      </c>
      <c r="R38" s="2">
        <v>0.92</v>
      </c>
    </row>
    <row r="39">
      <c r="B39" s="2" t="s">
        <v>113</v>
      </c>
      <c r="C39" s="2" t="s">
        <v>78</v>
      </c>
      <c r="D39" s="2">
        <v>64.0</v>
      </c>
      <c r="E39" s="2" t="s">
        <v>79</v>
      </c>
      <c r="F39" s="2" t="s">
        <v>80</v>
      </c>
      <c r="G39" s="2">
        <v>5.0E-4</v>
      </c>
      <c r="H39" s="2" t="s">
        <v>60</v>
      </c>
      <c r="I39" s="2">
        <v>0.1</v>
      </c>
      <c r="J39" s="2" t="s">
        <v>33</v>
      </c>
      <c r="K39" s="2" t="s">
        <v>114</v>
      </c>
      <c r="L39" s="2" t="s">
        <v>115</v>
      </c>
      <c r="M39" s="2" t="s">
        <v>104</v>
      </c>
      <c r="N39" s="2">
        <v>0.9556</v>
      </c>
      <c r="O39" s="2">
        <v>0.8727</v>
      </c>
      <c r="P39" s="2">
        <v>0.8586</v>
      </c>
      <c r="Q39" s="2">
        <v>0.87</v>
      </c>
      <c r="R39" s="2">
        <v>0.86</v>
      </c>
    </row>
    <row r="40">
      <c r="B40" s="2" t="s">
        <v>116</v>
      </c>
      <c r="C40" s="2" t="s">
        <v>98</v>
      </c>
      <c r="D40" s="2">
        <v>64.0</v>
      </c>
      <c r="E40" s="2" t="s">
        <v>99</v>
      </c>
      <c r="F40" s="2" t="s">
        <v>80</v>
      </c>
      <c r="G40" s="2">
        <v>5.0E-4</v>
      </c>
      <c r="H40" s="2" t="s">
        <v>60</v>
      </c>
      <c r="I40" s="2">
        <v>0.1</v>
      </c>
      <c r="J40" s="2" t="s">
        <v>33</v>
      </c>
      <c r="K40" s="2" t="s">
        <v>117</v>
      </c>
      <c r="L40" s="2" t="s">
        <v>118</v>
      </c>
      <c r="M40" s="2" t="s">
        <v>28</v>
      </c>
      <c r="N40" s="2">
        <v>0.9512</v>
      </c>
      <c r="O40" s="2">
        <v>0.72</v>
      </c>
      <c r="P40" s="2">
        <v>0.7155</v>
      </c>
      <c r="Q40" s="2">
        <v>0.76</v>
      </c>
      <c r="R40" s="2">
        <v>0.72</v>
      </c>
    </row>
    <row r="41">
      <c r="B41" s="2" t="s">
        <v>119</v>
      </c>
      <c r="C41" s="2" t="s">
        <v>93</v>
      </c>
      <c r="D41" s="2">
        <v>64.0</v>
      </c>
      <c r="E41" s="2" t="s">
        <v>94</v>
      </c>
      <c r="F41" s="2" t="s">
        <v>80</v>
      </c>
      <c r="G41" s="2">
        <v>5.0E-4</v>
      </c>
      <c r="H41" s="2" t="s">
        <v>60</v>
      </c>
      <c r="I41" s="2">
        <v>0.05</v>
      </c>
      <c r="J41" s="2" t="s">
        <v>33</v>
      </c>
      <c r="K41" s="2" t="s">
        <v>120</v>
      </c>
      <c r="L41" s="2" t="s">
        <v>27</v>
      </c>
      <c r="M41" s="2" t="s">
        <v>112</v>
      </c>
      <c r="N41" s="2">
        <v>0.9882</v>
      </c>
      <c r="O41" s="2">
        <v>0.8729</v>
      </c>
      <c r="P41" s="2">
        <v>0.8726</v>
      </c>
      <c r="Q41" s="2">
        <v>0.88</v>
      </c>
      <c r="R41" s="2">
        <v>0.88</v>
      </c>
    </row>
    <row r="42">
      <c r="B42" s="4" t="s">
        <v>121</v>
      </c>
      <c r="C42" s="4" t="s">
        <v>78</v>
      </c>
      <c r="D42" s="5">
        <v>64.0</v>
      </c>
      <c r="E42" s="5" t="s">
        <v>79</v>
      </c>
      <c r="F42" s="5" t="s">
        <v>80</v>
      </c>
      <c r="G42" s="5">
        <v>5.0E-4</v>
      </c>
      <c r="H42" s="5" t="s">
        <v>60</v>
      </c>
      <c r="I42" s="5">
        <v>0.05</v>
      </c>
      <c r="J42" s="5" t="s">
        <v>33</v>
      </c>
      <c r="K42" s="5" t="s">
        <v>122</v>
      </c>
      <c r="L42" s="5" t="s">
        <v>90</v>
      </c>
      <c r="M42" s="5" t="s">
        <v>104</v>
      </c>
      <c r="N42" s="5">
        <v>1.0</v>
      </c>
      <c r="O42" s="5">
        <v>0.9315</v>
      </c>
      <c r="P42" s="5">
        <v>0.9409</v>
      </c>
      <c r="Q42" s="6">
        <v>0.942139</v>
      </c>
      <c r="R42" s="6">
        <v>0.940941</v>
      </c>
      <c r="S42" s="6">
        <v>0.937678</v>
      </c>
      <c r="T42" s="6">
        <v>0.939736</v>
      </c>
    </row>
    <row r="43">
      <c r="B43" s="2" t="s">
        <v>123</v>
      </c>
      <c r="C43" s="2" t="s">
        <v>98</v>
      </c>
      <c r="D43" s="2">
        <v>64.0</v>
      </c>
      <c r="E43" s="2" t="s">
        <v>99</v>
      </c>
      <c r="F43" s="2" t="s">
        <v>80</v>
      </c>
      <c r="G43" s="2">
        <v>5.0E-4</v>
      </c>
      <c r="H43" s="2" t="s">
        <v>60</v>
      </c>
      <c r="I43" s="2">
        <v>0.05</v>
      </c>
      <c r="J43" s="2" t="s">
        <v>33</v>
      </c>
      <c r="K43" s="2" t="s">
        <v>124</v>
      </c>
      <c r="L43" s="2" t="s">
        <v>125</v>
      </c>
      <c r="M43" s="2" t="s">
        <v>28</v>
      </c>
      <c r="N43" s="2">
        <v>0.9994</v>
      </c>
      <c r="O43" s="2">
        <v>0.9605</v>
      </c>
      <c r="P43" s="2">
        <v>0.9445</v>
      </c>
      <c r="Q43" s="2">
        <v>0.95</v>
      </c>
      <c r="R43" s="2">
        <v>0.94</v>
      </c>
    </row>
    <row r="45">
      <c r="A45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23.88"/>
    <col customWidth="1" min="3" max="3" width="21.5"/>
    <col customWidth="1" min="4" max="4" width="10.0"/>
    <col customWidth="1" min="5" max="5" width="14.63"/>
    <col customWidth="1" min="6" max="6" width="9.13"/>
    <col customWidth="1" min="7" max="7" width="15.75"/>
    <col customWidth="1" min="8" max="8" width="17.25"/>
    <col customWidth="1" min="13" max="13" width="15.13"/>
    <col customWidth="1" min="20" max="20" width="16.0"/>
  </cols>
  <sheetData>
    <row r="1">
      <c r="A1" s="1" t="s">
        <v>126</v>
      </c>
    </row>
    <row r="2"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</row>
    <row r="3">
      <c r="B3" s="5" t="s">
        <v>127</v>
      </c>
      <c r="C3" s="5" t="s">
        <v>128</v>
      </c>
      <c r="D3" s="5">
        <v>64.0</v>
      </c>
      <c r="E3" s="5" t="s">
        <v>129</v>
      </c>
      <c r="F3" s="5" t="s">
        <v>24</v>
      </c>
      <c r="G3" s="5">
        <v>0.001</v>
      </c>
      <c r="H3" s="5" t="s">
        <v>25</v>
      </c>
      <c r="I3" s="5">
        <v>0.01</v>
      </c>
      <c r="J3" s="5" t="s">
        <v>33</v>
      </c>
      <c r="K3" s="5" t="s">
        <v>130</v>
      </c>
      <c r="L3" s="5" t="s">
        <v>131</v>
      </c>
      <c r="M3" s="5" t="s">
        <v>132</v>
      </c>
      <c r="N3" s="5">
        <v>0.9954</v>
      </c>
      <c r="O3" s="5">
        <v>0.9854</v>
      </c>
      <c r="P3" s="5">
        <v>0.9894</v>
      </c>
      <c r="Q3" s="6">
        <v>0.989651</v>
      </c>
      <c r="R3" s="6">
        <v>0.989412</v>
      </c>
      <c r="S3" s="6">
        <v>0.989303</v>
      </c>
      <c r="T3" s="6">
        <v>0.989196</v>
      </c>
    </row>
    <row r="4">
      <c r="B4" s="5" t="s">
        <v>133</v>
      </c>
      <c r="C4" s="5" t="s">
        <v>134</v>
      </c>
      <c r="D4" s="5">
        <v>16.0</v>
      </c>
      <c r="E4" s="5" t="s">
        <v>135</v>
      </c>
      <c r="F4" s="5" t="s">
        <v>24</v>
      </c>
      <c r="G4" s="5">
        <v>5.0E-4</v>
      </c>
      <c r="H4" s="5" t="s">
        <v>69</v>
      </c>
      <c r="I4" s="5">
        <v>0.025</v>
      </c>
      <c r="J4" s="5" t="s">
        <v>33</v>
      </c>
      <c r="K4" s="5" t="s">
        <v>136</v>
      </c>
      <c r="L4" s="5" t="s">
        <v>137</v>
      </c>
      <c r="M4" s="5" t="s">
        <v>138</v>
      </c>
      <c r="N4" s="5">
        <v>0.9758</v>
      </c>
      <c r="O4" s="5">
        <v>0.0833</v>
      </c>
      <c r="P4" s="5">
        <v>0.0887</v>
      </c>
      <c r="Q4" s="5">
        <v>0.01</v>
      </c>
      <c r="R4" s="5">
        <v>0.09</v>
      </c>
      <c r="S4" s="7"/>
      <c r="T4" s="7"/>
    </row>
    <row r="5">
      <c r="B5" s="5" t="s">
        <v>139</v>
      </c>
      <c r="C5" s="5" t="s">
        <v>140</v>
      </c>
      <c r="D5" s="5">
        <v>32.0</v>
      </c>
      <c r="E5" s="5" t="s">
        <v>141</v>
      </c>
      <c r="F5" s="5" t="s">
        <v>80</v>
      </c>
      <c r="G5" s="5">
        <v>5.0E-4</v>
      </c>
      <c r="H5" s="5" t="s">
        <v>60</v>
      </c>
      <c r="I5" s="5">
        <v>0.05</v>
      </c>
      <c r="J5" s="5" t="s">
        <v>33</v>
      </c>
      <c r="K5" s="5" t="s">
        <v>142</v>
      </c>
      <c r="L5" s="5" t="s">
        <v>143</v>
      </c>
      <c r="M5" s="5" t="s">
        <v>144</v>
      </c>
      <c r="N5" s="5">
        <v>0.9626</v>
      </c>
      <c r="O5" s="5">
        <v>0.6264</v>
      </c>
      <c r="P5" s="5">
        <v>0.6431</v>
      </c>
      <c r="Q5" s="6">
        <v>0.684912</v>
      </c>
      <c r="R5" s="6">
        <v>0.643059</v>
      </c>
      <c r="S5" s="6">
        <v>0.631723</v>
      </c>
      <c r="T5" s="6">
        <v>0.635774</v>
      </c>
    </row>
    <row r="7">
      <c r="B7" s="5" t="s">
        <v>145</v>
      </c>
      <c r="C7" s="5" t="s">
        <v>22</v>
      </c>
      <c r="D7" s="5">
        <v>64.0</v>
      </c>
      <c r="E7" s="5" t="s">
        <v>146</v>
      </c>
      <c r="F7" s="5" t="s">
        <v>24</v>
      </c>
      <c r="G7" s="5">
        <v>0.001</v>
      </c>
      <c r="H7" s="5" t="s">
        <v>25</v>
      </c>
      <c r="I7" s="5">
        <v>0.01</v>
      </c>
      <c r="J7" s="5" t="s">
        <v>33</v>
      </c>
      <c r="K7" s="5" t="s">
        <v>147</v>
      </c>
      <c r="L7" s="5" t="s">
        <v>148</v>
      </c>
      <c r="M7" s="5" t="s">
        <v>149</v>
      </c>
      <c r="N7" s="5">
        <v>0.9999</v>
      </c>
      <c r="O7" s="5">
        <v>0.9934</v>
      </c>
      <c r="P7" s="6">
        <v>0.995059</v>
      </c>
      <c r="Q7" s="6">
        <v>1.0</v>
      </c>
      <c r="R7" s="6">
        <v>1.0</v>
      </c>
      <c r="S7" s="6">
        <v>1.0</v>
      </c>
      <c r="T7" s="6">
        <v>0.994958</v>
      </c>
    </row>
    <row r="8">
      <c r="B8" s="5" t="s">
        <v>150</v>
      </c>
      <c r="C8" s="5" t="s">
        <v>49</v>
      </c>
      <c r="D8" s="5">
        <v>32.0</v>
      </c>
      <c r="E8" s="5" t="s">
        <v>151</v>
      </c>
      <c r="F8" s="5" t="s">
        <v>24</v>
      </c>
      <c r="G8" s="5">
        <v>5.0E-4</v>
      </c>
      <c r="H8" s="5" t="s">
        <v>69</v>
      </c>
      <c r="I8" s="5">
        <v>0.025</v>
      </c>
      <c r="J8" s="5" t="s">
        <v>33</v>
      </c>
      <c r="K8" s="5" t="s">
        <v>152</v>
      </c>
      <c r="L8" s="5" t="s">
        <v>153</v>
      </c>
      <c r="M8" s="5" t="s">
        <v>154</v>
      </c>
      <c r="N8" s="5">
        <v>0.9832</v>
      </c>
      <c r="O8" s="5">
        <v>0.1101</v>
      </c>
      <c r="P8" s="8">
        <v>0.117647</v>
      </c>
      <c r="Q8" s="9" t="s">
        <v>155</v>
      </c>
      <c r="R8" s="9" t="s">
        <v>155</v>
      </c>
      <c r="S8" s="9" t="s">
        <v>155</v>
      </c>
      <c r="T8" s="6">
        <v>0.09964</v>
      </c>
    </row>
    <row r="9">
      <c r="B9" s="5" t="s">
        <v>156</v>
      </c>
      <c r="C9" s="5" t="s">
        <v>78</v>
      </c>
      <c r="D9" s="5">
        <v>64.0</v>
      </c>
      <c r="E9" s="5" t="s">
        <v>157</v>
      </c>
      <c r="F9" s="5" t="s">
        <v>80</v>
      </c>
      <c r="G9" s="5">
        <v>5.0E-4</v>
      </c>
      <c r="H9" s="5" t="s">
        <v>60</v>
      </c>
      <c r="I9" s="5">
        <v>0.05</v>
      </c>
      <c r="J9" s="5" t="s">
        <v>33</v>
      </c>
      <c r="K9" s="5" t="s">
        <v>158</v>
      </c>
      <c r="L9" s="5" t="s">
        <v>159</v>
      </c>
      <c r="M9" s="5" t="s">
        <v>160</v>
      </c>
      <c r="N9" s="5">
        <v>0.9714</v>
      </c>
      <c r="O9" s="5">
        <v>0.7186</v>
      </c>
      <c r="P9" s="6">
        <v>0.697176</v>
      </c>
      <c r="Q9" s="6">
        <v>0.827796</v>
      </c>
      <c r="R9" s="6">
        <v>0.811765</v>
      </c>
      <c r="S9" s="6">
        <v>0.791965</v>
      </c>
      <c r="T9" s="6">
        <v>0.690996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13.0"/>
    <col customWidth="1" min="3" max="3" width="15.13"/>
    <col customWidth="1" min="4" max="4" width="12.38"/>
    <col customWidth="1" min="5" max="5" width="14.88"/>
    <col customWidth="1" min="6" max="6" width="13.5"/>
    <col customWidth="1" min="8" max="8" width="14.13"/>
    <col customWidth="1" min="11" max="11" width="15.38"/>
  </cols>
  <sheetData>
    <row r="1">
      <c r="A1" s="10" t="s">
        <v>161</v>
      </c>
    </row>
    <row r="2">
      <c r="B2" s="11" t="s">
        <v>1</v>
      </c>
      <c r="C2" s="11" t="s">
        <v>162</v>
      </c>
      <c r="D2" s="11" t="s">
        <v>3</v>
      </c>
      <c r="E2" s="11" t="s">
        <v>163</v>
      </c>
      <c r="F2" s="11" t="s">
        <v>164</v>
      </c>
      <c r="G2" s="11" t="s">
        <v>12</v>
      </c>
    </row>
    <row r="3">
      <c r="B3" s="5" t="s">
        <v>165</v>
      </c>
      <c r="C3" s="5" t="s">
        <v>166</v>
      </c>
      <c r="D3" s="5">
        <v>32.0</v>
      </c>
      <c r="E3" s="5">
        <v>0.01</v>
      </c>
      <c r="F3" s="5" t="s">
        <v>24</v>
      </c>
      <c r="G3" s="5" t="s">
        <v>167</v>
      </c>
    </row>
    <row r="4">
      <c r="B4" s="5" t="s">
        <v>168</v>
      </c>
      <c r="C4" s="5" t="s">
        <v>166</v>
      </c>
      <c r="D4" s="5">
        <v>32.0</v>
      </c>
      <c r="E4" s="5">
        <v>0.01</v>
      </c>
      <c r="F4" s="5" t="s">
        <v>24</v>
      </c>
      <c r="G4" s="5" t="s">
        <v>169</v>
      </c>
    </row>
    <row r="5">
      <c r="B5" s="5" t="s">
        <v>170</v>
      </c>
      <c r="C5" s="5" t="s">
        <v>166</v>
      </c>
      <c r="D5" s="5">
        <v>32.0</v>
      </c>
      <c r="E5" s="5">
        <v>0.01</v>
      </c>
      <c r="F5" s="5" t="s">
        <v>24</v>
      </c>
      <c r="G5" s="5" t="s">
        <v>171</v>
      </c>
    </row>
    <row r="6">
      <c r="B6" s="5" t="s">
        <v>172</v>
      </c>
      <c r="C6" s="5" t="s">
        <v>173</v>
      </c>
      <c r="D6" s="5">
        <v>32.0</v>
      </c>
      <c r="E6" s="12">
        <v>3.5E-5</v>
      </c>
      <c r="F6" s="5" t="s">
        <v>31</v>
      </c>
      <c r="G6" s="7"/>
    </row>
    <row r="9">
      <c r="A9" s="3" t="s">
        <v>2</v>
      </c>
      <c r="B9" s="3" t="s">
        <v>3</v>
      </c>
      <c r="C9" s="3" t="s">
        <v>4</v>
      </c>
      <c r="D9" s="3" t="s">
        <v>5</v>
      </c>
      <c r="E9" s="3" t="s">
        <v>6</v>
      </c>
      <c r="F9" s="3" t="s">
        <v>7</v>
      </c>
      <c r="G9" s="3" t="s">
        <v>8</v>
      </c>
      <c r="H9" s="3" t="s">
        <v>9</v>
      </c>
      <c r="I9" s="3" t="s">
        <v>10</v>
      </c>
    </row>
    <row r="10">
      <c r="A10" s="2" t="s">
        <v>22</v>
      </c>
      <c r="B10" s="2">
        <v>64.0</v>
      </c>
      <c r="C10" s="2" t="s">
        <v>23</v>
      </c>
      <c r="D10" s="2" t="s">
        <v>24</v>
      </c>
      <c r="E10" s="2">
        <v>0.001</v>
      </c>
      <c r="F10" s="13" t="s">
        <v>25</v>
      </c>
      <c r="G10" s="2">
        <v>0.01</v>
      </c>
      <c r="H10" s="2" t="s">
        <v>33</v>
      </c>
      <c r="I10" s="2">
        <v>100.0</v>
      </c>
    </row>
    <row r="12">
      <c r="A12" s="3" t="s">
        <v>174</v>
      </c>
      <c r="B12" s="3" t="s">
        <v>175</v>
      </c>
      <c r="C12" s="3" t="s">
        <v>11</v>
      </c>
      <c r="D12" s="3" t="s">
        <v>12</v>
      </c>
      <c r="E12" s="3" t="s">
        <v>13</v>
      </c>
      <c r="F12" s="3" t="s">
        <v>14</v>
      </c>
      <c r="G12" s="3" t="s">
        <v>15</v>
      </c>
      <c r="H12" s="3" t="s">
        <v>16</v>
      </c>
      <c r="I12" s="3" t="s">
        <v>17</v>
      </c>
      <c r="J12" s="3" t="s">
        <v>18</v>
      </c>
      <c r="K12" s="3" t="s">
        <v>19</v>
      </c>
    </row>
    <row r="13">
      <c r="A13" s="2" t="s">
        <v>176</v>
      </c>
      <c r="B13" s="2">
        <v>25.0</v>
      </c>
      <c r="C13" s="2" t="s">
        <v>177</v>
      </c>
      <c r="D13" s="2" t="s">
        <v>178</v>
      </c>
      <c r="E13" s="2">
        <v>0.9962</v>
      </c>
      <c r="F13" s="2">
        <v>0.9539</v>
      </c>
      <c r="G13" s="2">
        <v>0.9779</v>
      </c>
      <c r="H13" s="2">
        <v>0.9791</v>
      </c>
      <c r="I13" s="2">
        <v>0.9779</v>
      </c>
      <c r="J13" s="2">
        <v>0.9777</v>
      </c>
      <c r="K13" s="2">
        <v>0.9774</v>
      </c>
    </row>
    <row r="14">
      <c r="A14" s="2" t="s">
        <v>179</v>
      </c>
      <c r="B14" s="2">
        <v>50.0</v>
      </c>
      <c r="C14" s="2" t="s">
        <v>180</v>
      </c>
      <c r="D14" s="2" t="s">
        <v>181</v>
      </c>
      <c r="E14" s="2">
        <v>0.9981</v>
      </c>
      <c r="F14" s="2">
        <v>0.9699</v>
      </c>
      <c r="G14" s="2">
        <v>0.9847</v>
      </c>
      <c r="H14" s="2">
        <v>0.9861</v>
      </c>
      <c r="I14" s="2">
        <v>0.9847</v>
      </c>
      <c r="J14" s="2">
        <v>0.9846</v>
      </c>
      <c r="K14" s="2">
        <v>0.9844</v>
      </c>
    </row>
    <row r="15">
      <c r="A15" s="2" t="s">
        <v>182</v>
      </c>
      <c r="B15" s="2">
        <v>75.0</v>
      </c>
      <c r="C15" s="2" t="s">
        <v>183</v>
      </c>
      <c r="D15" s="2" t="s">
        <v>184</v>
      </c>
      <c r="E15" s="2">
        <v>0.9984</v>
      </c>
      <c r="F15" s="2">
        <v>0.9673</v>
      </c>
      <c r="G15" s="2">
        <v>0.9791</v>
      </c>
      <c r="H15" s="2">
        <v>0.9808</v>
      </c>
      <c r="I15" s="2">
        <v>0.9791</v>
      </c>
      <c r="J15" s="2">
        <v>0.9788</v>
      </c>
      <c r="K15" s="2">
        <v>0.9786</v>
      </c>
    </row>
    <row r="16">
      <c r="A16" s="2" t="s">
        <v>185</v>
      </c>
      <c r="B16" s="2">
        <v>100.0</v>
      </c>
      <c r="C16" s="2" t="s">
        <v>186</v>
      </c>
      <c r="D16" s="2" t="s">
        <v>187</v>
      </c>
      <c r="E16" s="2">
        <v>0.9981</v>
      </c>
      <c r="F16" s="2">
        <v>0.9838</v>
      </c>
      <c r="G16" s="2">
        <v>0.9896</v>
      </c>
      <c r="H16" s="2">
        <v>0.9902</v>
      </c>
      <c r="I16" s="2">
        <v>0.9896</v>
      </c>
      <c r="J16" s="2">
        <v>0.9896</v>
      </c>
      <c r="K16" s="2">
        <v>0.9894</v>
      </c>
    </row>
    <row r="17">
      <c r="A17" s="2" t="s">
        <v>188</v>
      </c>
      <c r="B17" s="2">
        <v>125.0</v>
      </c>
      <c r="C17" s="2" t="s">
        <v>189</v>
      </c>
      <c r="D17" s="2" t="s">
        <v>190</v>
      </c>
      <c r="E17" s="2">
        <v>0.9981</v>
      </c>
      <c r="F17" s="2">
        <v>0.9833</v>
      </c>
      <c r="G17" s="2">
        <v>0.9911</v>
      </c>
      <c r="H17" s="2">
        <v>0.9918</v>
      </c>
      <c r="I17" s="2">
        <v>0.9911</v>
      </c>
      <c r="J17" s="2">
        <v>0.991</v>
      </c>
      <c r="K17" s="2">
        <v>0.9909</v>
      </c>
    </row>
    <row r="18">
      <c r="B18" s="3" t="s">
        <v>175</v>
      </c>
      <c r="C18" s="3" t="s">
        <v>11</v>
      </c>
      <c r="D18" s="3" t="s">
        <v>12</v>
      </c>
      <c r="E18" s="3" t="s">
        <v>13</v>
      </c>
      <c r="F18" s="3" t="s">
        <v>14</v>
      </c>
      <c r="G18" s="3" t="s">
        <v>15</v>
      </c>
      <c r="H18" s="3" t="s">
        <v>16</v>
      </c>
      <c r="I18" s="3" t="s">
        <v>17</v>
      </c>
      <c r="J18" s="3" t="s">
        <v>18</v>
      </c>
      <c r="K18" s="3" t="s">
        <v>19</v>
      </c>
    </row>
    <row r="19">
      <c r="A19" s="2" t="s">
        <v>191</v>
      </c>
      <c r="B19" s="2">
        <v>25.0</v>
      </c>
      <c r="C19" s="2" t="s">
        <v>177</v>
      </c>
      <c r="D19" s="2" t="s">
        <v>178</v>
      </c>
      <c r="E19" s="2">
        <v>0.9997</v>
      </c>
      <c r="F19" s="2">
        <v>0.8824</v>
      </c>
      <c r="G19" s="2">
        <v>0.9075</v>
      </c>
      <c r="H19" s="2">
        <v>0.9104</v>
      </c>
      <c r="I19" s="2">
        <v>0.9075</v>
      </c>
      <c r="J19" s="2">
        <v>0.9035</v>
      </c>
      <c r="K19" s="2">
        <v>0.9056</v>
      </c>
    </row>
    <row r="20">
      <c r="A20" s="2" t="s">
        <v>192</v>
      </c>
      <c r="B20" s="2">
        <v>50.0</v>
      </c>
      <c r="C20" s="2" t="s">
        <v>180</v>
      </c>
      <c r="D20" s="2" t="s">
        <v>181</v>
      </c>
      <c r="E20" s="2">
        <v>0.9998</v>
      </c>
      <c r="F20" s="2">
        <v>0.9153</v>
      </c>
      <c r="G20" s="2">
        <v>0.9259</v>
      </c>
      <c r="H20" s="2">
        <v>0.9339</v>
      </c>
      <c r="I20" s="2">
        <v>0.9259</v>
      </c>
      <c r="J20" s="2">
        <v>0.9254</v>
      </c>
      <c r="K20" s="2">
        <v>0.9244</v>
      </c>
    </row>
    <row r="21">
      <c r="A21" s="2" t="s">
        <v>193</v>
      </c>
      <c r="B21" s="2">
        <v>75.0</v>
      </c>
      <c r="C21" s="2" t="s">
        <v>183</v>
      </c>
      <c r="D21" s="2" t="s">
        <v>184</v>
      </c>
      <c r="E21" s="2">
        <v>0.9996</v>
      </c>
      <c r="F21" s="2">
        <v>0.9325</v>
      </c>
      <c r="G21" s="2">
        <v>0.968</v>
      </c>
      <c r="H21" s="2">
        <v>0.9711</v>
      </c>
      <c r="I21" s="2">
        <v>0.968</v>
      </c>
      <c r="J21" s="2">
        <v>0.9675</v>
      </c>
      <c r="K21" s="2">
        <v>0.9673</v>
      </c>
    </row>
    <row r="22">
      <c r="A22" s="2" t="s">
        <v>194</v>
      </c>
      <c r="B22" s="2">
        <v>100.0</v>
      </c>
      <c r="C22" s="2" t="s">
        <v>186</v>
      </c>
      <c r="D22" s="2" t="s">
        <v>187</v>
      </c>
      <c r="E22" s="2">
        <v>0.9996</v>
      </c>
      <c r="F22" s="2">
        <v>0.9814</v>
      </c>
      <c r="G22" s="2">
        <v>0.9793</v>
      </c>
      <c r="H22" s="2">
        <v>0.9857</v>
      </c>
      <c r="I22" s="2">
        <v>0.9793</v>
      </c>
      <c r="J22" s="2">
        <v>0.9787</v>
      </c>
      <c r="K22" s="2">
        <v>0.9789</v>
      </c>
    </row>
    <row r="23">
      <c r="A23" s="2" t="s">
        <v>195</v>
      </c>
      <c r="B23" s="2">
        <v>125.0</v>
      </c>
      <c r="C23" s="2" t="s">
        <v>189</v>
      </c>
      <c r="D23" s="2" t="s">
        <v>190</v>
      </c>
      <c r="E23" s="2">
        <v>1.0</v>
      </c>
      <c r="F23" s="2">
        <v>0.9793</v>
      </c>
      <c r="G23" s="2">
        <v>0.9896</v>
      </c>
      <c r="H23" s="2">
        <v>0.9913</v>
      </c>
      <c r="I23" s="2">
        <v>0.9896</v>
      </c>
      <c r="J23" s="2">
        <v>0.9895</v>
      </c>
      <c r="K23" s="2">
        <v>0.9894</v>
      </c>
    </row>
    <row r="24">
      <c r="B24" s="3" t="s">
        <v>175</v>
      </c>
      <c r="C24" s="3" t="s">
        <v>11</v>
      </c>
      <c r="D24" s="3" t="s">
        <v>12</v>
      </c>
      <c r="E24" s="3" t="s">
        <v>13</v>
      </c>
      <c r="F24" s="3" t="s">
        <v>14</v>
      </c>
      <c r="G24" s="3" t="s">
        <v>15</v>
      </c>
      <c r="H24" s="3" t="s">
        <v>16</v>
      </c>
      <c r="I24" s="3" t="s">
        <v>17</v>
      </c>
      <c r="J24" s="3" t="s">
        <v>18</v>
      </c>
      <c r="K24" s="3" t="s">
        <v>19</v>
      </c>
    </row>
    <row r="25">
      <c r="A25" s="2" t="s">
        <v>196</v>
      </c>
      <c r="B25" s="2">
        <v>25.0</v>
      </c>
      <c r="C25" s="2" t="s">
        <v>177</v>
      </c>
      <c r="D25" s="2" t="s">
        <v>197</v>
      </c>
      <c r="E25" s="2">
        <v>0.9951</v>
      </c>
      <c r="F25" s="2">
        <v>0.8929</v>
      </c>
      <c r="G25" s="2">
        <v>0.9235</v>
      </c>
      <c r="H25" s="2">
        <v>0.929</v>
      </c>
      <c r="I25" s="2">
        <v>0.9235</v>
      </c>
      <c r="J25" s="2">
        <v>0.9205</v>
      </c>
      <c r="K25" s="2">
        <v>0.922</v>
      </c>
    </row>
    <row r="26">
      <c r="A26" s="2" t="s">
        <v>198</v>
      </c>
      <c r="B26" s="2">
        <v>50.0</v>
      </c>
      <c r="C26" s="2" t="s">
        <v>180</v>
      </c>
      <c r="D26" s="2" t="s">
        <v>199</v>
      </c>
      <c r="E26" s="2">
        <v>0.9932</v>
      </c>
      <c r="F26" s="2">
        <v>0.8944</v>
      </c>
      <c r="G26" s="2">
        <v>0.9449</v>
      </c>
      <c r="H26" s="2">
        <v>0.9526</v>
      </c>
      <c r="I26" s="2">
        <v>0.9449</v>
      </c>
      <c r="J26" s="2">
        <v>0.9443</v>
      </c>
      <c r="K26" s="2">
        <v>0.9438</v>
      </c>
    </row>
    <row r="27">
      <c r="A27" s="2" t="s">
        <v>200</v>
      </c>
      <c r="B27" s="2">
        <v>75.0</v>
      </c>
      <c r="C27" s="2" t="s">
        <v>183</v>
      </c>
      <c r="D27" s="2" t="s">
        <v>201</v>
      </c>
      <c r="E27" s="2">
        <v>0.9999</v>
      </c>
      <c r="F27" s="2">
        <v>0.9541</v>
      </c>
      <c r="G27" s="2">
        <v>0.9649</v>
      </c>
      <c r="H27" s="2">
        <v>0.9714</v>
      </c>
      <c r="I27" s="2">
        <v>0.9649</v>
      </c>
      <c r="J27" s="2">
        <v>0.9643</v>
      </c>
      <c r="K27" s="2">
        <v>0.9642</v>
      </c>
    </row>
    <row r="28">
      <c r="A28" s="2" t="s">
        <v>202</v>
      </c>
      <c r="B28" s="2">
        <v>100.0</v>
      </c>
      <c r="C28" s="2" t="s">
        <v>186</v>
      </c>
      <c r="D28" s="2" t="s">
        <v>203</v>
      </c>
      <c r="E28" s="2">
        <v>0.9991</v>
      </c>
      <c r="F28" s="2">
        <v>0.9753</v>
      </c>
      <c r="G28" s="2">
        <v>0.9819</v>
      </c>
      <c r="H28" s="2">
        <v>0.9845</v>
      </c>
      <c r="I28" s="2">
        <v>0.9819</v>
      </c>
      <c r="J28" s="2">
        <v>0.9817</v>
      </c>
      <c r="K28" s="2">
        <v>0.9815</v>
      </c>
    </row>
    <row r="29">
      <c r="A29" s="2" t="s">
        <v>204</v>
      </c>
      <c r="B29" s="2">
        <v>125.0</v>
      </c>
      <c r="C29" s="2" t="s">
        <v>189</v>
      </c>
      <c r="D29" s="2" t="s">
        <v>205</v>
      </c>
      <c r="E29" s="2">
        <v>0.9998</v>
      </c>
      <c r="F29" s="2">
        <v>0.9838</v>
      </c>
      <c r="G29" s="2">
        <v>0.9842</v>
      </c>
      <c r="H29" s="2">
        <v>0.9848</v>
      </c>
      <c r="I29" s="2">
        <v>0.9842</v>
      </c>
      <c r="J29" s="2">
        <v>0.9842</v>
      </c>
      <c r="K29" s="2">
        <v>0.9839</v>
      </c>
    </row>
    <row r="30">
      <c r="B30" s="3" t="s">
        <v>175</v>
      </c>
      <c r="C30" s="3" t="s">
        <v>11</v>
      </c>
      <c r="D30" s="3" t="s">
        <v>12</v>
      </c>
      <c r="E30" s="3" t="s">
        <v>13</v>
      </c>
      <c r="F30" s="3" t="s">
        <v>14</v>
      </c>
      <c r="G30" s="3" t="s">
        <v>15</v>
      </c>
      <c r="H30" s="3" t="s">
        <v>16</v>
      </c>
      <c r="I30" s="3" t="s">
        <v>17</v>
      </c>
      <c r="J30" s="3" t="s">
        <v>18</v>
      </c>
      <c r="K30" s="3" t="s">
        <v>19</v>
      </c>
    </row>
    <row r="31">
      <c r="A31" s="2" t="s">
        <v>206</v>
      </c>
      <c r="B31" s="2">
        <v>25.0</v>
      </c>
      <c r="C31" s="2" t="s">
        <v>177</v>
      </c>
      <c r="D31" s="2" t="s">
        <v>197</v>
      </c>
      <c r="E31" s="2">
        <v>0.9992</v>
      </c>
      <c r="F31" s="2">
        <v>0.8353</v>
      </c>
      <c r="G31" s="2">
        <v>0.8647</v>
      </c>
      <c r="H31" s="2">
        <v>0.8741</v>
      </c>
      <c r="I31" s="2">
        <v>0.8647</v>
      </c>
      <c r="J31" s="2">
        <v>0.8611</v>
      </c>
      <c r="K31" s="2">
        <v>0.8619</v>
      </c>
    </row>
    <row r="32">
      <c r="A32" s="2" t="s">
        <v>207</v>
      </c>
      <c r="B32" s="2">
        <v>50.0</v>
      </c>
      <c r="C32" s="2" t="s">
        <v>180</v>
      </c>
      <c r="D32" s="2" t="s">
        <v>199</v>
      </c>
      <c r="E32" s="2">
        <v>0.9997</v>
      </c>
      <c r="F32" s="2">
        <v>0.9186</v>
      </c>
      <c r="G32" s="2">
        <v>0.9341</v>
      </c>
      <c r="H32" s="2">
        <v>0.9404</v>
      </c>
      <c r="I32" s="2">
        <v>0.9341</v>
      </c>
      <c r="J32" s="2">
        <v>0.9342</v>
      </c>
      <c r="K32" s="2">
        <v>0.9328</v>
      </c>
    </row>
    <row r="33">
      <c r="A33" s="2" t="s">
        <v>208</v>
      </c>
      <c r="B33" s="2">
        <v>75.0</v>
      </c>
      <c r="C33" s="2" t="s">
        <v>183</v>
      </c>
      <c r="D33" s="2" t="s">
        <v>209</v>
      </c>
      <c r="E33" s="2">
        <v>0.9998</v>
      </c>
      <c r="F33" s="2">
        <v>0.9579</v>
      </c>
      <c r="G33" s="2">
        <v>0.9591</v>
      </c>
      <c r="H33" s="2">
        <v>0.9605</v>
      </c>
      <c r="I33" s="2">
        <v>0.9591</v>
      </c>
      <c r="J33" s="2">
        <v>0.9565</v>
      </c>
      <c r="K33" s="2">
        <v>0.9582</v>
      </c>
    </row>
    <row r="34">
      <c r="A34" s="2" t="s">
        <v>210</v>
      </c>
      <c r="B34" s="2">
        <v>100.0</v>
      </c>
      <c r="C34" s="2" t="s">
        <v>186</v>
      </c>
      <c r="D34" s="2" t="s">
        <v>203</v>
      </c>
      <c r="E34" s="2">
        <v>0.9999</v>
      </c>
      <c r="F34" s="2">
        <v>0.9489</v>
      </c>
      <c r="G34" s="2">
        <v>0.9821</v>
      </c>
      <c r="H34" s="2">
        <v>0.9854</v>
      </c>
      <c r="I34" s="2">
        <v>0.9821</v>
      </c>
      <c r="J34" s="2">
        <v>0.9825</v>
      </c>
      <c r="K34" s="2">
        <v>0.9817</v>
      </c>
    </row>
    <row r="35">
      <c r="A35" s="2" t="s">
        <v>211</v>
      </c>
      <c r="B35" s="2">
        <v>125.0</v>
      </c>
      <c r="C35" s="2" t="s">
        <v>189</v>
      </c>
      <c r="D35" s="2" t="s">
        <v>205</v>
      </c>
      <c r="E35" s="2">
        <v>0.9998</v>
      </c>
      <c r="F35" s="2">
        <v>0.9793</v>
      </c>
      <c r="G35" s="2">
        <v>0.9927</v>
      </c>
      <c r="H35" s="2">
        <v>0.9932</v>
      </c>
      <c r="I35" s="2">
        <v>0.9927</v>
      </c>
      <c r="J35" s="2">
        <v>0.9927</v>
      </c>
      <c r="K35" s="2">
        <v>0.9926</v>
      </c>
    </row>
    <row r="40">
      <c r="B40" s="14" t="s">
        <v>212</v>
      </c>
      <c r="C40" s="15"/>
      <c r="D40" s="15"/>
      <c r="E40" s="15"/>
      <c r="F40" s="16"/>
      <c r="H40" s="14" t="s">
        <v>19</v>
      </c>
      <c r="I40" s="15"/>
      <c r="J40" s="15"/>
      <c r="K40" s="15"/>
      <c r="L40" s="16"/>
    </row>
    <row r="41">
      <c r="B41" s="17" t="s">
        <v>213</v>
      </c>
      <c r="C41" s="17" t="s">
        <v>165</v>
      </c>
      <c r="D41" s="17" t="s">
        <v>214</v>
      </c>
      <c r="E41" s="17" t="s">
        <v>215</v>
      </c>
      <c r="F41" s="17" t="s">
        <v>172</v>
      </c>
      <c r="H41" s="17" t="s">
        <v>213</v>
      </c>
      <c r="I41" s="17" t="s">
        <v>165</v>
      </c>
      <c r="J41" s="17" t="s">
        <v>214</v>
      </c>
      <c r="K41" s="17" t="s">
        <v>215</v>
      </c>
      <c r="L41" s="17" t="s">
        <v>172</v>
      </c>
    </row>
    <row r="42">
      <c r="B42" s="5">
        <v>25.0</v>
      </c>
      <c r="C42" s="5">
        <v>0.9075</v>
      </c>
      <c r="D42" s="5">
        <v>0.9235</v>
      </c>
      <c r="E42" s="5">
        <v>0.8647</v>
      </c>
      <c r="F42" s="5">
        <v>0.9779</v>
      </c>
      <c r="H42" s="5">
        <v>25.0</v>
      </c>
      <c r="I42" s="5">
        <v>0.9056</v>
      </c>
      <c r="J42" s="5">
        <v>0.922</v>
      </c>
      <c r="K42" s="5">
        <v>0.8619</v>
      </c>
      <c r="L42" s="5">
        <v>0.9774</v>
      </c>
    </row>
    <row r="43">
      <c r="B43" s="5">
        <v>50.0</v>
      </c>
      <c r="C43" s="5">
        <v>0.9259</v>
      </c>
      <c r="D43" s="5">
        <v>0.9449</v>
      </c>
      <c r="E43" s="5">
        <v>0.9341</v>
      </c>
      <c r="F43" s="5">
        <v>0.9847</v>
      </c>
      <c r="H43" s="5">
        <v>50.0</v>
      </c>
      <c r="I43" s="5">
        <v>0.9244</v>
      </c>
      <c r="J43" s="5">
        <v>0.9438</v>
      </c>
      <c r="K43" s="5">
        <v>0.9328</v>
      </c>
      <c r="L43" s="5">
        <v>0.9844</v>
      </c>
    </row>
    <row r="44">
      <c r="B44" s="5">
        <v>75.0</v>
      </c>
      <c r="C44" s="5">
        <v>0.968</v>
      </c>
      <c r="D44" s="5">
        <v>0.9649</v>
      </c>
      <c r="E44" s="5">
        <v>0.9591</v>
      </c>
      <c r="F44" s="5">
        <v>0.9791</v>
      </c>
      <c r="H44" s="5">
        <v>75.0</v>
      </c>
      <c r="I44" s="5">
        <v>0.9673</v>
      </c>
      <c r="J44" s="5">
        <v>0.9642</v>
      </c>
      <c r="K44" s="5">
        <v>0.9582</v>
      </c>
      <c r="L44" s="5">
        <v>0.9786</v>
      </c>
    </row>
    <row r="45">
      <c r="B45" s="5">
        <v>100.0</v>
      </c>
      <c r="C45" s="5">
        <v>0.9793</v>
      </c>
      <c r="D45" s="5">
        <v>0.9819</v>
      </c>
      <c r="E45" s="5">
        <v>0.9821</v>
      </c>
      <c r="F45" s="5">
        <v>0.9896</v>
      </c>
      <c r="H45" s="5">
        <v>100.0</v>
      </c>
      <c r="I45" s="5">
        <v>0.9789</v>
      </c>
      <c r="J45" s="5">
        <v>0.9815</v>
      </c>
      <c r="K45" s="5">
        <v>0.9817</v>
      </c>
      <c r="L45" s="5">
        <v>0.9894</v>
      </c>
    </row>
    <row r="46">
      <c r="B46" s="5">
        <v>125.0</v>
      </c>
      <c r="C46" s="5">
        <v>0.9896</v>
      </c>
      <c r="D46" s="5">
        <v>0.9842</v>
      </c>
      <c r="E46" s="5">
        <v>0.9927</v>
      </c>
      <c r="F46" s="5">
        <v>0.9911</v>
      </c>
      <c r="H46" s="5">
        <v>125.0</v>
      </c>
      <c r="I46" s="5">
        <v>0.9894</v>
      </c>
      <c r="J46" s="5">
        <v>0.9839</v>
      </c>
      <c r="K46" s="5">
        <v>0.9926</v>
      </c>
      <c r="L46" s="5">
        <v>0.9909</v>
      </c>
    </row>
    <row r="47">
      <c r="B47" s="5">
        <v>147.0</v>
      </c>
      <c r="C47" s="5">
        <v>0.9797</v>
      </c>
      <c r="D47" s="5">
        <v>0.9797</v>
      </c>
      <c r="E47" s="5">
        <v>0.9797</v>
      </c>
      <c r="F47" s="5">
        <v>0.9797</v>
      </c>
      <c r="H47" s="5">
        <v>147.0</v>
      </c>
      <c r="I47" s="5">
        <v>0.9793</v>
      </c>
      <c r="J47" s="5">
        <v>0.9793</v>
      </c>
      <c r="K47" s="5">
        <v>0.9793</v>
      </c>
      <c r="L47" s="5">
        <v>0.9793</v>
      </c>
    </row>
    <row r="76">
      <c r="A76" s="18" t="s">
        <v>216</v>
      </c>
    </row>
    <row r="78">
      <c r="A78" s="19" t="s">
        <v>165</v>
      </c>
      <c r="B78" s="5" t="s">
        <v>217</v>
      </c>
      <c r="C78" s="20"/>
    </row>
    <row r="79">
      <c r="A79" s="19" t="s">
        <v>214</v>
      </c>
      <c r="B79" s="5" t="s">
        <v>218</v>
      </c>
    </row>
    <row r="80">
      <c r="A80" s="19" t="s">
        <v>215</v>
      </c>
      <c r="B80" s="5" t="s">
        <v>219</v>
      </c>
    </row>
    <row r="81">
      <c r="A81" s="19" t="s">
        <v>172</v>
      </c>
      <c r="B81" s="5" t="s">
        <v>220</v>
      </c>
    </row>
  </sheetData>
  <mergeCells count="2">
    <mergeCell ref="B40:F40"/>
    <mergeCell ref="H40:L4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0"/>
    <col customWidth="1" min="3" max="3" width="21.75"/>
    <col customWidth="1" min="4" max="4" width="11.5"/>
    <col customWidth="1" min="5" max="5" width="15.75"/>
    <col customWidth="1" min="8" max="8" width="16.88"/>
    <col customWidth="1" min="13" max="13" width="15.25"/>
  </cols>
  <sheetData>
    <row r="1">
      <c r="A1" s="1" t="s">
        <v>221</v>
      </c>
    </row>
    <row r="2">
      <c r="A2" s="2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</row>
    <row r="3">
      <c r="A3" s="3" t="s">
        <v>20</v>
      </c>
    </row>
    <row r="4">
      <c r="B4" s="5" t="s">
        <v>222</v>
      </c>
      <c r="C4" s="5" t="s">
        <v>22</v>
      </c>
      <c r="D4" s="5">
        <v>64.0</v>
      </c>
      <c r="E4" s="5" t="s">
        <v>23</v>
      </c>
      <c r="F4" s="5" t="s">
        <v>24</v>
      </c>
      <c r="G4" s="5">
        <v>0.001</v>
      </c>
      <c r="H4" s="5" t="s">
        <v>25</v>
      </c>
      <c r="I4" s="5">
        <v>0.01</v>
      </c>
      <c r="J4" s="5" t="s">
        <v>33</v>
      </c>
      <c r="K4" s="5" t="s">
        <v>117</v>
      </c>
      <c r="L4" s="5" t="s">
        <v>223</v>
      </c>
      <c r="M4" s="5" t="s">
        <v>224</v>
      </c>
      <c r="N4" s="5">
        <v>0.9994</v>
      </c>
      <c r="O4" s="5">
        <v>0.9071</v>
      </c>
      <c r="P4" s="5">
        <v>0.9859</v>
      </c>
      <c r="Q4" s="5">
        <v>0.9855</v>
      </c>
      <c r="R4" s="5">
        <v>0.9912</v>
      </c>
      <c r="S4" s="5">
        <v>0.9883</v>
      </c>
      <c r="T4" s="5">
        <v>0.9843</v>
      </c>
    </row>
    <row r="5">
      <c r="B5" s="5" t="s">
        <v>225</v>
      </c>
      <c r="C5" s="5" t="s">
        <v>22</v>
      </c>
      <c r="D5" s="5">
        <v>64.0</v>
      </c>
      <c r="E5" s="5" t="s">
        <v>23</v>
      </c>
      <c r="F5" s="5" t="s">
        <v>24</v>
      </c>
      <c r="G5" s="5">
        <v>0.001</v>
      </c>
      <c r="H5" s="5" t="s">
        <v>25</v>
      </c>
      <c r="I5" s="5">
        <v>0.01</v>
      </c>
      <c r="J5" s="5" t="s">
        <v>33</v>
      </c>
      <c r="K5" s="5" t="s">
        <v>226</v>
      </c>
      <c r="L5" s="5" t="s">
        <v>180</v>
      </c>
      <c r="M5" s="5" t="s">
        <v>227</v>
      </c>
      <c r="N5" s="5">
        <v>0.9981</v>
      </c>
      <c r="O5" s="5">
        <v>0.9024</v>
      </c>
      <c r="P5" s="5">
        <v>0.9365</v>
      </c>
      <c r="Q5" s="5">
        <v>0.9782</v>
      </c>
      <c r="R5" s="5">
        <v>0.9559</v>
      </c>
      <c r="S5" s="5">
        <v>0.9665</v>
      </c>
      <c r="T5" s="5">
        <v>0.9331</v>
      </c>
    </row>
    <row r="6">
      <c r="B6" s="5" t="s">
        <v>228</v>
      </c>
      <c r="C6" s="5" t="s">
        <v>22</v>
      </c>
      <c r="D6" s="5">
        <v>64.0</v>
      </c>
      <c r="E6" s="5" t="s">
        <v>23</v>
      </c>
      <c r="F6" s="5" t="s">
        <v>24</v>
      </c>
      <c r="G6" s="5">
        <v>0.001</v>
      </c>
      <c r="H6" s="5" t="s">
        <v>25</v>
      </c>
      <c r="I6" s="5">
        <v>0.01</v>
      </c>
      <c r="J6" s="5" t="s">
        <v>33</v>
      </c>
      <c r="K6" s="5" t="s">
        <v>229</v>
      </c>
      <c r="L6" s="5" t="s">
        <v>27</v>
      </c>
      <c r="M6" s="5" t="s">
        <v>28</v>
      </c>
      <c r="N6" s="5">
        <v>0.9977</v>
      </c>
      <c r="O6" s="5">
        <v>0.8804</v>
      </c>
      <c r="P6" s="5">
        <v>0.9349</v>
      </c>
      <c r="Q6" s="5">
        <v>0.9943</v>
      </c>
      <c r="R6" s="5">
        <v>0.9794</v>
      </c>
      <c r="S6" s="5">
        <v>0.9864</v>
      </c>
      <c r="T6" s="5">
        <v>0.9327</v>
      </c>
    </row>
    <row r="7">
      <c r="B7" s="5" t="s">
        <v>230</v>
      </c>
      <c r="C7" s="5" t="s">
        <v>22</v>
      </c>
      <c r="D7" s="5">
        <v>64.0</v>
      </c>
      <c r="E7" s="5" t="s">
        <v>23</v>
      </c>
      <c r="F7" s="5" t="s">
        <v>24</v>
      </c>
      <c r="G7" s="5">
        <v>0.001</v>
      </c>
      <c r="H7" s="5" t="s">
        <v>25</v>
      </c>
      <c r="I7" s="5">
        <v>0.01</v>
      </c>
      <c r="J7" s="5" t="s">
        <v>33</v>
      </c>
      <c r="K7" s="5" t="s">
        <v>152</v>
      </c>
      <c r="L7" s="5" t="s">
        <v>27</v>
      </c>
      <c r="M7" s="5" t="s">
        <v>28</v>
      </c>
      <c r="N7" s="5">
        <v>0.9997</v>
      </c>
      <c r="O7" s="5">
        <v>0.9459</v>
      </c>
      <c r="P7" s="5">
        <v>0.965</v>
      </c>
      <c r="Q7" s="5">
        <v>1.0</v>
      </c>
      <c r="R7" s="5">
        <v>1.0</v>
      </c>
      <c r="S7" s="5">
        <v>1.0</v>
      </c>
      <c r="T7" s="5">
        <v>0.9641</v>
      </c>
    </row>
    <row r="9">
      <c r="B9" s="5" t="s">
        <v>231</v>
      </c>
      <c r="C9" s="5" t="s">
        <v>49</v>
      </c>
      <c r="D9" s="5">
        <v>32.0</v>
      </c>
      <c r="E9" s="5" t="s">
        <v>232</v>
      </c>
      <c r="F9" s="5" t="s">
        <v>24</v>
      </c>
      <c r="G9" s="5">
        <v>5.0E-4</v>
      </c>
      <c r="H9" s="5" t="s">
        <v>69</v>
      </c>
      <c r="I9" s="5">
        <v>0.025</v>
      </c>
      <c r="J9" s="5" t="s">
        <v>33</v>
      </c>
      <c r="K9" s="5" t="s">
        <v>152</v>
      </c>
      <c r="L9" s="5" t="s">
        <v>233</v>
      </c>
      <c r="M9" s="5" t="s">
        <v>52</v>
      </c>
      <c r="N9" s="5">
        <v>0.9991</v>
      </c>
      <c r="O9" s="5">
        <v>0.84</v>
      </c>
      <c r="P9" s="5">
        <v>0.92</v>
      </c>
      <c r="Q9" s="7"/>
      <c r="R9" s="7"/>
      <c r="S9" s="7"/>
      <c r="T9" s="7"/>
    </row>
    <row r="10">
      <c r="B10" s="5" t="s">
        <v>234</v>
      </c>
      <c r="C10" s="5" t="s">
        <v>49</v>
      </c>
      <c r="D10" s="5">
        <v>32.0</v>
      </c>
      <c r="E10" s="5" t="s">
        <v>235</v>
      </c>
      <c r="F10" s="5" t="s">
        <v>24</v>
      </c>
      <c r="G10" s="5">
        <v>5.0E-4</v>
      </c>
      <c r="H10" s="5" t="s">
        <v>69</v>
      </c>
      <c r="I10" s="5">
        <v>0.025</v>
      </c>
      <c r="J10" s="5" t="s">
        <v>33</v>
      </c>
      <c r="K10" s="5" t="s">
        <v>36</v>
      </c>
      <c r="L10" s="5" t="s">
        <v>236</v>
      </c>
      <c r="M10" s="5" t="s">
        <v>52</v>
      </c>
      <c r="N10" s="5">
        <v>0.9922</v>
      </c>
      <c r="O10" s="5">
        <v>0.8259</v>
      </c>
      <c r="P10" s="5">
        <v>0.8706</v>
      </c>
      <c r="Q10" s="7"/>
      <c r="R10" s="7"/>
      <c r="S10" s="7"/>
      <c r="T10" s="7"/>
    </row>
    <row r="11">
      <c r="B11" s="5" t="s">
        <v>237</v>
      </c>
      <c r="C11" s="5" t="s">
        <v>49</v>
      </c>
      <c r="D11" s="5">
        <v>32.0</v>
      </c>
      <c r="E11" s="5" t="s">
        <v>238</v>
      </c>
      <c r="F11" s="5" t="s">
        <v>24</v>
      </c>
      <c r="G11" s="5">
        <v>5.0E-4</v>
      </c>
      <c r="H11" s="5" t="s">
        <v>69</v>
      </c>
      <c r="I11" s="5">
        <v>0.025</v>
      </c>
      <c r="J11" s="5" t="s">
        <v>33</v>
      </c>
      <c r="K11" s="5" t="s">
        <v>130</v>
      </c>
      <c r="L11" s="5" t="s">
        <v>239</v>
      </c>
      <c r="M11" s="5" t="s">
        <v>52</v>
      </c>
      <c r="N11" s="5">
        <v>0.9884</v>
      </c>
      <c r="O11" s="5">
        <v>0.8604</v>
      </c>
      <c r="P11" s="5">
        <v>0.9106</v>
      </c>
      <c r="Q11" s="7"/>
      <c r="R11" s="7"/>
      <c r="S11" s="7"/>
      <c r="T11" s="7"/>
    </row>
    <row r="12">
      <c r="B12" s="5" t="s">
        <v>240</v>
      </c>
      <c r="C12" s="5" t="s">
        <v>49</v>
      </c>
      <c r="D12" s="5">
        <v>32.0</v>
      </c>
      <c r="E12" s="5" t="s">
        <v>241</v>
      </c>
      <c r="F12" s="5" t="s">
        <v>24</v>
      </c>
      <c r="G12" s="5">
        <v>5.0E-4</v>
      </c>
      <c r="H12" s="5" t="s">
        <v>69</v>
      </c>
      <c r="I12" s="5">
        <v>0.025</v>
      </c>
      <c r="J12" s="5" t="s">
        <v>33</v>
      </c>
      <c r="K12" s="5" t="s">
        <v>120</v>
      </c>
      <c r="L12" s="5" t="s">
        <v>242</v>
      </c>
      <c r="M12" s="5" t="s">
        <v>52</v>
      </c>
      <c r="N12" s="5">
        <v>0.9961</v>
      </c>
      <c r="O12" s="5">
        <v>0.9388</v>
      </c>
      <c r="P12" s="5">
        <v>0.9553</v>
      </c>
      <c r="Q12" s="7"/>
      <c r="R12" s="7"/>
      <c r="S12" s="7"/>
      <c r="T12" s="7"/>
    </row>
    <row r="14">
      <c r="B14" s="5" t="s">
        <v>243</v>
      </c>
      <c r="C14" s="5" t="s">
        <v>78</v>
      </c>
      <c r="D14" s="5">
        <v>64.0</v>
      </c>
      <c r="E14" s="5" t="s">
        <v>244</v>
      </c>
      <c r="F14" s="5" t="s">
        <v>80</v>
      </c>
      <c r="G14" s="5">
        <v>5.0E-4</v>
      </c>
      <c r="H14" s="5" t="s">
        <v>60</v>
      </c>
      <c r="I14" s="5">
        <v>0.05</v>
      </c>
      <c r="J14" s="5" t="s">
        <v>33</v>
      </c>
      <c r="K14" s="5" t="s">
        <v>245</v>
      </c>
      <c r="L14" s="5" t="s">
        <v>246</v>
      </c>
      <c r="M14" s="5" t="s">
        <v>247</v>
      </c>
      <c r="N14" s="5">
        <v>0.9891</v>
      </c>
      <c r="O14" s="5">
        <v>0.8965</v>
      </c>
      <c r="P14" s="5">
        <v>0.8988</v>
      </c>
      <c r="Q14" s="7"/>
      <c r="R14" s="7"/>
      <c r="S14" s="7"/>
      <c r="T14" s="7"/>
    </row>
    <row r="15">
      <c r="B15" s="5" t="s">
        <v>248</v>
      </c>
      <c r="C15" s="5" t="s">
        <v>78</v>
      </c>
      <c r="D15" s="5">
        <v>64.0</v>
      </c>
      <c r="E15" s="5" t="s">
        <v>249</v>
      </c>
      <c r="F15" s="5" t="s">
        <v>80</v>
      </c>
      <c r="G15" s="5">
        <v>5.0E-4</v>
      </c>
      <c r="H15" s="5" t="s">
        <v>60</v>
      </c>
      <c r="I15" s="5">
        <v>0.05</v>
      </c>
      <c r="J15" s="5" t="s">
        <v>33</v>
      </c>
      <c r="K15" s="5" t="s">
        <v>245</v>
      </c>
      <c r="L15" s="5" t="s">
        <v>250</v>
      </c>
      <c r="M15" s="5" t="s">
        <v>251</v>
      </c>
      <c r="N15" s="5">
        <v>0.9865</v>
      </c>
      <c r="O15" s="5">
        <v>0.8853</v>
      </c>
      <c r="P15" s="5">
        <v>0.9076</v>
      </c>
      <c r="Q15" s="7"/>
      <c r="R15" s="7"/>
      <c r="S15" s="7"/>
      <c r="T15" s="7"/>
    </row>
    <row r="16">
      <c r="B16" s="5" t="s">
        <v>252</v>
      </c>
      <c r="C16" s="5" t="s">
        <v>78</v>
      </c>
      <c r="D16" s="5">
        <v>64.0</v>
      </c>
      <c r="E16" s="5"/>
      <c r="F16" s="5" t="s">
        <v>80</v>
      </c>
      <c r="G16" s="5">
        <v>5.0E-4</v>
      </c>
      <c r="H16" s="5" t="s">
        <v>60</v>
      </c>
      <c r="I16" s="5">
        <v>0.05</v>
      </c>
      <c r="J16" s="5" t="s">
        <v>33</v>
      </c>
      <c r="K16" s="5" t="s">
        <v>253</v>
      </c>
      <c r="L16" s="5" t="s">
        <v>254</v>
      </c>
      <c r="M16" s="5" t="s">
        <v>104</v>
      </c>
      <c r="N16" s="5">
        <v>0.9626</v>
      </c>
      <c r="O16" s="5">
        <v>0.8388</v>
      </c>
      <c r="P16" s="5">
        <v>0.8604</v>
      </c>
      <c r="Q16" s="7"/>
      <c r="R16" s="7"/>
      <c r="S16" s="7"/>
      <c r="T16" s="7"/>
    </row>
    <row r="17">
      <c r="B17" s="5" t="s">
        <v>255</v>
      </c>
      <c r="C17" s="5" t="s">
        <v>78</v>
      </c>
      <c r="D17" s="5">
        <v>64.0</v>
      </c>
      <c r="E17" s="5" t="s">
        <v>256</v>
      </c>
      <c r="F17" s="5" t="s">
        <v>80</v>
      </c>
      <c r="G17" s="5">
        <v>5.0E-4</v>
      </c>
      <c r="H17" s="5" t="s">
        <v>60</v>
      </c>
      <c r="I17" s="5">
        <v>0.05</v>
      </c>
      <c r="J17" s="5" t="s">
        <v>33</v>
      </c>
      <c r="K17" s="5" t="s">
        <v>257</v>
      </c>
      <c r="L17" s="5" t="s">
        <v>258</v>
      </c>
      <c r="M17" s="5" t="s">
        <v>104</v>
      </c>
      <c r="N17" s="5">
        <v>0.9988</v>
      </c>
      <c r="O17" s="5">
        <v>0.9653</v>
      </c>
      <c r="P17" s="5">
        <v>0.9632</v>
      </c>
      <c r="Q17" s="7"/>
      <c r="R17" s="7"/>
      <c r="S17" s="7"/>
      <c r="T17" s="7"/>
    </row>
    <row r="20">
      <c r="E20" s="17" t="s">
        <v>259</v>
      </c>
      <c r="F20" s="17" t="s">
        <v>260</v>
      </c>
      <c r="G20" s="17" t="s">
        <v>261</v>
      </c>
      <c r="H20" s="17" t="s">
        <v>262</v>
      </c>
    </row>
    <row r="21">
      <c r="E21" s="21">
        <v>10.0</v>
      </c>
      <c r="F21" s="21">
        <v>0.9859</v>
      </c>
      <c r="G21" s="21">
        <v>0.92</v>
      </c>
      <c r="H21" s="21">
        <v>0.8988</v>
      </c>
    </row>
    <row r="22">
      <c r="E22" s="21">
        <v>20.0</v>
      </c>
      <c r="F22" s="21">
        <v>0.9365</v>
      </c>
      <c r="G22" s="21">
        <v>0.8706</v>
      </c>
      <c r="H22" s="21">
        <v>0.9076</v>
      </c>
    </row>
    <row r="23">
      <c r="E23" s="21">
        <v>30.0</v>
      </c>
      <c r="F23" s="21">
        <v>0.9349</v>
      </c>
      <c r="G23" s="21">
        <v>0.9106</v>
      </c>
      <c r="H23" s="21">
        <v>0.8604</v>
      </c>
    </row>
    <row r="24">
      <c r="E24" s="21">
        <v>40.0</v>
      </c>
      <c r="F24" s="21">
        <v>0.965</v>
      </c>
      <c r="G24" s="21">
        <v>0.9553</v>
      </c>
      <c r="H24" s="21">
        <v>0.9632</v>
      </c>
    </row>
    <row r="25">
      <c r="E25" s="21">
        <v>50.0</v>
      </c>
      <c r="F25" s="22">
        <v>0.9845</v>
      </c>
      <c r="G25" s="22">
        <v>0.9635</v>
      </c>
      <c r="H25" s="22">
        <v>0.9365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8.63"/>
    <col customWidth="1" min="3" max="3" width="19.25"/>
    <col customWidth="1" min="4" max="4" width="11.5"/>
    <col customWidth="1" min="5" max="5" width="15.25"/>
    <col customWidth="1" min="6" max="6" width="9.75"/>
    <col customWidth="1" min="7" max="7" width="15.88"/>
    <col customWidth="1" min="8" max="8" width="18.25"/>
    <col customWidth="1" min="9" max="9" width="14.75"/>
    <col customWidth="1" min="10" max="10" width="15.0"/>
    <col customWidth="1" min="11" max="11" width="10.63"/>
    <col customWidth="1" min="12" max="12" width="13.63"/>
    <col customWidth="1" min="14" max="14" width="16.0"/>
    <col customWidth="1" min="15" max="15" width="11.5"/>
    <col customWidth="1" min="16" max="16" width="15.25"/>
    <col customWidth="1" min="17" max="17" width="17.5"/>
    <col customWidth="1" min="22" max="22" width="15.13"/>
    <col customWidth="1" min="23" max="23" width="14.13"/>
  </cols>
  <sheetData>
    <row r="1">
      <c r="A1" s="1" t="s">
        <v>221</v>
      </c>
    </row>
    <row r="2"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>
      <c r="A3" s="23" t="s">
        <v>263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  <c r="J3" s="11" t="s">
        <v>9</v>
      </c>
      <c r="K3" s="11" t="s">
        <v>11</v>
      </c>
      <c r="L3" s="11" t="s">
        <v>12</v>
      </c>
    </row>
    <row r="4">
      <c r="C4" s="5" t="s">
        <v>22</v>
      </c>
      <c r="D4" s="5">
        <v>64.0</v>
      </c>
      <c r="E4" s="5" t="s">
        <v>23</v>
      </c>
      <c r="F4" s="5" t="s">
        <v>24</v>
      </c>
      <c r="G4" s="5">
        <v>0.001</v>
      </c>
      <c r="H4" s="5" t="s">
        <v>25</v>
      </c>
      <c r="I4" s="5">
        <v>0.01</v>
      </c>
      <c r="J4" s="5" t="s">
        <v>33</v>
      </c>
      <c r="K4" s="5" t="s">
        <v>27</v>
      </c>
      <c r="L4" s="5" t="s">
        <v>28</v>
      </c>
    </row>
    <row r="5">
      <c r="B5" s="3" t="s">
        <v>264</v>
      </c>
      <c r="C5" s="3" t="s">
        <v>10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  <c r="I5" s="3" t="s">
        <v>18</v>
      </c>
      <c r="J5" s="3" t="s">
        <v>19</v>
      </c>
      <c r="N5" s="7"/>
      <c r="O5" s="17" t="s">
        <v>260</v>
      </c>
      <c r="P5" s="17" t="s">
        <v>265</v>
      </c>
      <c r="Q5" s="17" t="s">
        <v>266</v>
      </c>
    </row>
    <row r="6">
      <c r="B6" s="2">
        <v>1.0</v>
      </c>
      <c r="C6" s="2" t="s">
        <v>36</v>
      </c>
      <c r="D6" s="2">
        <v>0.9999</v>
      </c>
      <c r="E6" s="2">
        <v>0.9586</v>
      </c>
      <c r="F6" s="2">
        <v>0.9821</v>
      </c>
      <c r="G6" s="2">
        <v>0.9869</v>
      </c>
      <c r="H6" s="2">
        <v>0.9821</v>
      </c>
      <c r="I6" s="2">
        <v>0.9814</v>
      </c>
      <c r="J6" s="2">
        <v>0.9817</v>
      </c>
      <c r="N6" s="5" t="s">
        <v>3</v>
      </c>
      <c r="O6" s="21">
        <v>64.0</v>
      </c>
      <c r="P6" s="21">
        <v>32.0</v>
      </c>
      <c r="Q6" s="21">
        <v>64.0</v>
      </c>
    </row>
    <row r="7">
      <c r="B7" s="2">
        <v>2.0</v>
      </c>
      <c r="C7" s="2" t="s">
        <v>267</v>
      </c>
      <c r="D7" s="2">
        <v>0.9991</v>
      </c>
      <c r="E7" s="2">
        <v>0.9602</v>
      </c>
      <c r="F7" s="2">
        <v>0.9725</v>
      </c>
      <c r="G7" s="2">
        <v>0.9771</v>
      </c>
      <c r="H7" s="2">
        <v>0.9725</v>
      </c>
      <c r="I7" s="2">
        <v>0.9707</v>
      </c>
      <c r="J7" s="2">
        <v>0.9719</v>
      </c>
      <c r="N7" s="5" t="s">
        <v>5</v>
      </c>
      <c r="O7" s="21" t="s">
        <v>24</v>
      </c>
      <c r="P7" s="21" t="s">
        <v>24</v>
      </c>
      <c r="Q7" s="21" t="s">
        <v>80</v>
      </c>
    </row>
    <row r="8">
      <c r="B8" s="2">
        <v>3.0</v>
      </c>
      <c r="C8" s="2" t="s">
        <v>226</v>
      </c>
      <c r="D8" s="2">
        <v>0.9996</v>
      </c>
      <c r="E8" s="2">
        <v>0.9666</v>
      </c>
      <c r="F8" s="2">
        <v>0.9845</v>
      </c>
      <c r="G8" s="2">
        <v>0.9878</v>
      </c>
      <c r="H8" s="2">
        <v>0.9845</v>
      </c>
      <c r="I8" s="2">
        <v>0.9844</v>
      </c>
      <c r="J8" s="2">
        <v>0.9842</v>
      </c>
      <c r="N8" s="5" t="s">
        <v>6</v>
      </c>
      <c r="O8" s="21">
        <v>0.001</v>
      </c>
      <c r="P8" s="21">
        <v>5.0E-4</v>
      </c>
      <c r="Q8" s="21">
        <v>5.0E-4</v>
      </c>
    </row>
    <row r="9">
      <c r="B9" s="3" t="s">
        <v>268</v>
      </c>
      <c r="C9" s="24">
        <v>45.0</v>
      </c>
      <c r="D9" s="25">
        <f t="shared" ref="D9:J9" si="1">(D6+D7+D8)/3</f>
        <v>0.9995333333</v>
      </c>
      <c r="E9" s="25">
        <f t="shared" si="1"/>
        <v>0.9618</v>
      </c>
      <c r="F9" s="25">
        <f t="shared" si="1"/>
        <v>0.9797</v>
      </c>
      <c r="G9" s="25">
        <f t="shared" si="1"/>
        <v>0.9839333333</v>
      </c>
      <c r="H9" s="25">
        <f t="shared" si="1"/>
        <v>0.9797</v>
      </c>
      <c r="I9" s="25">
        <f t="shared" si="1"/>
        <v>0.9788333333</v>
      </c>
      <c r="J9" s="25">
        <f t="shared" si="1"/>
        <v>0.9792666667</v>
      </c>
      <c r="N9" s="5" t="s">
        <v>7</v>
      </c>
      <c r="O9" s="21" t="s">
        <v>25</v>
      </c>
      <c r="P9" s="21" t="s">
        <v>69</v>
      </c>
      <c r="Q9" s="21" t="s">
        <v>60</v>
      </c>
    </row>
    <row r="10">
      <c r="N10" s="5" t="s">
        <v>8</v>
      </c>
      <c r="O10" s="21">
        <v>0.01</v>
      </c>
      <c r="P10" s="21">
        <v>0.025</v>
      </c>
      <c r="Q10" s="21">
        <v>0.05</v>
      </c>
    </row>
    <row r="11">
      <c r="N11" s="5" t="s">
        <v>9</v>
      </c>
      <c r="O11" s="21" t="s">
        <v>33</v>
      </c>
      <c r="P11" s="21" t="s">
        <v>33</v>
      </c>
      <c r="Q11" s="21" t="s">
        <v>33</v>
      </c>
    </row>
    <row r="13">
      <c r="A13" s="3"/>
      <c r="C13" s="3"/>
      <c r="D13" s="3"/>
      <c r="E13" s="3"/>
      <c r="F13" s="3"/>
      <c r="G13" s="3"/>
      <c r="H13" s="3"/>
      <c r="I13" s="3"/>
      <c r="J13" s="3"/>
      <c r="K13" s="3"/>
      <c r="N13" s="26"/>
      <c r="O13" s="17" t="s">
        <v>260</v>
      </c>
      <c r="P13" s="17" t="s">
        <v>265</v>
      </c>
      <c r="Q13" s="17" t="s">
        <v>266</v>
      </c>
    </row>
    <row r="14">
      <c r="A14" s="23" t="s">
        <v>269</v>
      </c>
      <c r="C14" s="11" t="s">
        <v>2</v>
      </c>
      <c r="D14" s="11" t="s">
        <v>3</v>
      </c>
      <c r="E14" s="11" t="s">
        <v>4</v>
      </c>
      <c r="F14" s="11" t="s">
        <v>5</v>
      </c>
      <c r="G14" s="11" t="s">
        <v>6</v>
      </c>
      <c r="H14" s="11" t="s">
        <v>7</v>
      </c>
      <c r="I14" s="11" t="s">
        <v>8</v>
      </c>
      <c r="J14" s="11" t="s">
        <v>9</v>
      </c>
      <c r="K14" s="11" t="s">
        <v>11</v>
      </c>
      <c r="L14" s="11" t="s">
        <v>12</v>
      </c>
      <c r="N14" s="27" t="s">
        <v>270</v>
      </c>
      <c r="O14" s="26" t="str">
        <f t="array" ref="O14:O21">TRANSPOSE(C8:J8)</f>
        <v>54/100</v>
      </c>
      <c r="P14" s="26" t="str">
        <f t="array" ref="P14:P21">TRANSPOSE(C19:J19)</f>
        <v>87/100</v>
      </c>
      <c r="Q14" s="26" t="str">
        <f t="array" ref="Q14:Q21">TRANSPOSE(C29:J29)</f>
        <v>84/100</v>
      </c>
    </row>
    <row r="15">
      <c r="C15" s="5" t="s">
        <v>49</v>
      </c>
      <c r="D15" s="5">
        <v>32.0</v>
      </c>
      <c r="E15" s="5" t="s">
        <v>50</v>
      </c>
      <c r="F15" s="5" t="s">
        <v>24</v>
      </c>
      <c r="G15" s="5">
        <v>5.0E-4</v>
      </c>
      <c r="H15" s="5" t="s">
        <v>69</v>
      </c>
      <c r="I15" s="5">
        <v>0.025</v>
      </c>
      <c r="J15" s="5" t="s">
        <v>33</v>
      </c>
      <c r="K15" s="5" t="s">
        <v>51</v>
      </c>
      <c r="L15" s="5" t="s">
        <v>52</v>
      </c>
      <c r="N15" s="27" t="s">
        <v>271</v>
      </c>
      <c r="O15" s="26">
        <v>0.9996</v>
      </c>
      <c r="P15" s="26">
        <v>0.9952</v>
      </c>
      <c r="Q15" s="28">
        <v>1.0</v>
      </c>
    </row>
    <row r="16">
      <c r="B16" s="3" t="s">
        <v>264</v>
      </c>
      <c r="C16" s="3" t="s">
        <v>10</v>
      </c>
      <c r="D16" s="3" t="s">
        <v>13</v>
      </c>
      <c r="E16" s="3" t="s">
        <v>14</v>
      </c>
      <c r="F16" s="3" t="s">
        <v>15</v>
      </c>
      <c r="G16" s="3" t="s">
        <v>16</v>
      </c>
      <c r="H16" s="3" t="s">
        <v>17</v>
      </c>
      <c r="I16" s="3" t="s">
        <v>18</v>
      </c>
      <c r="J16" s="3" t="s">
        <v>19</v>
      </c>
      <c r="N16" s="27" t="s">
        <v>272</v>
      </c>
      <c r="O16" s="26">
        <v>0.9666</v>
      </c>
      <c r="P16" s="26">
        <v>0.9358</v>
      </c>
      <c r="Q16" s="26">
        <v>0.9541</v>
      </c>
    </row>
    <row r="17">
      <c r="B17" s="2">
        <v>1.0</v>
      </c>
      <c r="C17" s="2" t="s">
        <v>67</v>
      </c>
      <c r="D17" s="2">
        <v>0.9992</v>
      </c>
      <c r="E17" s="2">
        <v>0.9687</v>
      </c>
      <c r="F17" s="2">
        <v>0.9769</v>
      </c>
      <c r="G17" s="2">
        <v>0.9802</v>
      </c>
      <c r="H17" s="2">
        <v>0.9769</v>
      </c>
      <c r="I17" s="2">
        <v>0.9755</v>
      </c>
      <c r="J17" s="2">
        <v>0.9765</v>
      </c>
      <c r="N17" s="27" t="s">
        <v>212</v>
      </c>
      <c r="O17" s="26">
        <v>0.9845</v>
      </c>
      <c r="P17" s="26">
        <v>0.9635</v>
      </c>
      <c r="Q17" s="26">
        <v>0.9365</v>
      </c>
    </row>
    <row r="18">
      <c r="B18" s="2">
        <v>2.0</v>
      </c>
      <c r="C18" s="2" t="s">
        <v>273</v>
      </c>
      <c r="D18" s="2">
        <v>0.9974</v>
      </c>
      <c r="E18" s="2">
        <v>0.968</v>
      </c>
      <c r="F18" s="2">
        <v>0.9741</v>
      </c>
      <c r="G18" s="2">
        <v>0.9774</v>
      </c>
      <c r="H18" s="2">
        <v>0.9741</v>
      </c>
      <c r="I18" s="2">
        <v>0.974</v>
      </c>
      <c r="J18" s="2">
        <v>0.9736</v>
      </c>
      <c r="N18" s="27" t="s">
        <v>16</v>
      </c>
      <c r="O18" s="26">
        <v>0.9878</v>
      </c>
      <c r="P18" s="26">
        <v>0.9665</v>
      </c>
      <c r="Q18" s="26">
        <v>0.9398</v>
      </c>
    </row>
    <row r="19">
      <c r="B19" s="2">
        <v>3.0</v>
      </c>
      <c r="C19" s="2" t="s">
        <v>274</v>
      </c>
      <c r="D19" s="2">
        <v>0.9952</v>
      </c>
      <c r="E19" s="2">
        <v>0.9358</v>
      </c>
      <c r="F19" s="2">
        <v>0.9635</v>
      </c>
      <c r="G19" s="2">
        <v>0.9665</v>
      </c>
      <c r="H19" s="2">
        <v>0.9635</v>
      </c>
      <c r="I19" s="2">
        <v>0.962</v>
      </c>
      <c r="J19" s="2">
        <v>0.9628</v>
      </c>
      <c r="N19" s="27" t="s">
        <v>17</v>
      </c>
      <c r="O19" s="26">
        <v>0.9845</v>
      </c>
      <c r="P19" s="26">
        <v>0.9635</v>
      </c>
      <c r="Q19" s="26">
        <v>0.9364</v>
      </c>
    </row>
    <row r="20">
      <c r="B20" s="3" t="s">
        <v>268</v>
      </c>
      <c r="C20" s="29">
        <f>(171+87)/3</f>
        <v>86</v>
      </c>
      <c r="D20" s="25">
        <f t="shared" ref="D20:J20" si="2">(D17+D18+D19)/3</f>
        <v>0.9972666667</v>
      </c>
      <c r="E20" s="25">
        <f t="shared" si="2"/>
        <v>0.9575</v>
      </c>
      <c r="F20" s="25">
        <f t="shared" si="2"/>
        <v>0.9715</v>
      </c>
      <c r="G20" s="25">
        <f t="shared" si="2"/>
        <v>0.9747</v>
      </c>
      <c r="H20" s="25">
        <f t="shared" si="2"/>
        <v>0.9715</v>
      </c>
      <c r="I20" s="25">
        <f t="shared" si="2"/>
        <v>0.9705</v>
      </c>
      <c r="J20" s="25">
        <f t="shared" si="2"/>
        <v>0.9709666667</v>
      </c>
      <c r="N20" s="27" t="s">
        <v>18</v>
      </c>
      <c r="O20" s="26">
        <v>0.9844</v>
      </c>
      <c r="P20" s="26">
        <v>0.962</v>
      </c>
      <c r="Q20" s="26">
        <v>0.9331</v>
      </c>
    </row>
    <row r="21">
      <c r="N21" s="27" t="s">
        <v>19</v>
      </c>
      <c r="O21" s="26">
        <v>0.9842</v>
      </c>
      <c r="P21" s="26">
        <v>0.9628</v>
      </c>
      <c r="Q21" s="26">
        <v>0.9352</v>
      </c>
    </row>
    <row r="25">
      <c r="A25" s="23" t="s">
        <v>275</v>
      </c>
      <c r="C25" s="11" t="s">
        <v>2</v>
      </c>
      <c r="D25" s="11" t="s">
        <v>3</v>
      </c>
      <c r="E25" s="11" t="s">
        <v>4</v>
      </c>
      <c r="F25" s="11" t="s">
        <v>5</v>
      </c>
      <c r="G25" s="11" t="s">
        <v>6</v>
      </c>
      <c r="H25" s="11" t="s">
        <v>7</v>
      </c>
      <c r="I25" s="11" t="s">
        <v>8</v>
      </c>
      <c r="J25" s="11" t="s">
        <v>9</v>
      </c>
      <c r="K25" s="11" t="s">
        <v>11</v>
      </c>
      <c r="L25" s="11" t="s">
        <v>12</v>
      </c>
      <c r="N25" s="7" t="str">
        <f t="array" ref="N25:V28">TRANSPOSE(N13:Q21)</f>
        <v/>
      </c>
      <c r="O25" s="30" t="s">
        <v>270</v>
      </c>
      <c r="P25" s="30" t="s">
        <v>271</v>
      </c>
      <c r="Q25" s="30" t="s">
        <v>272</v>
      </c>
      <c r="R25" s="30" t="s">
        <v>212</v>
      </c>
      <c r="S25" s="30" t="s">
        <v>16</v>
      </c>
      <c r="T25" s="30" t="s">
        <v>17</v>
      </c>
      <c r="U25" s="30" t="s">
        <v>18</v>
      </c>
      <c r="V25" s="30" t="s">
        <v>19</v>
      </c>
      <c r="W25" s="31" t="s">
        <v>276</v>
      </c>
      <c r="X25" s="11" t="s">
        <v>277</v>
      </c>
    </row>
    <row r="26">
      <c r="C26" s="5" t="s">
        <v>78</v>
      </c>
      <c r="D26" s="5">
        <v>64.0</v>
      </c>
      <c r="E26" s="5" t="s">
        <v>79</v>
      </c>
      <c r="F26" s="5" t="s">
        <v>80</v>
      </c>
      <c r="G26" s="5">
        <v>5.0E-4</v>
      </c>
      <c r="H26" s="5" t="s">
        <v>60</v>
      </c>
      <c r="I26" s="5">
        <v>0.05</v>
      </c>
      <c r="J26" s="5" t="s">
        <v>33</v>
      </c>
      <c r="K26" s="5" t="s">
        <v>278</v>
      </c>
      <c r="L26" s="5" t="s">
        <v>104</v>
      </c>
      <c r="N26" s="7" t="s">
        <v>260</v>
      </c>
      <c r="O26" s="26" t="s">
        <v>226</v>
      </c>
      <c r="P26" s="26">
        <v>0.9996</v>
      </c>
      <c r="Q26" s="26">
        <v>0.9666</v>
      </c>
      <c r="R26" s="26">
        <v>0.9845</v>
      </c>
      <c r="S26" s="26">
        <v>0.9878</v>
      </c>
      <c r="T26" s="26">
        <v>0.9845</v>
      </c>
      <c r="U26" s="26">
        <v>0.9844</v>
      </c>
      <c r="V26" s="26">
        <v>0.9842</v>
      </c>
      <c r="W26" s="32">
        <v>180.0</v>
      </c>
      <c r="X26" s="33">
        <f t="shared" ref="X26:X31" si="3">W26*VALUE(left(O26,2))/60</f>
        <v>162</v>
      </c>
      <c r="Y26" s="34" t="str">
        <f t="shared" ref="Y26:Y31" si="4">left(O26,2)</f>
        <v>54</v>
      </c>
    </row>
    <row r="27">
      <c r="B27" s="3" t="s">
        <v>264</v>
      </c>
      <c r="C27" s="3" t="s">
        <v>10</v>
      </c>
      <c r="D27" s="3" t="s">
        <v>13</v>
      </c>
      <c r="E27" s="3" t="s">
        <v>14</v>
      </c>
      <c r="F27" s="3" t="s">
        <v>15</v>
      </c>
      <c r="G27" s="3" t="s">
        <v>16</v>
      </c>
      <c r="H27" s="3" t="s">
        <v>17</v>
      </c>
      <c r="I27" s="3" t="s">
        <v>18</v>
      </c>
      <c r="J27" s="3" t="s">
        <v>19</v>
      </c>
      <c r="N27" s="7" t="s">
        <v>265</v>
      </c>
      <c r="O27" s="26" t="s">
        <v>274</v>
      </c>
      <c r="P27" s="26">
        <v>0.9952</v>
      </c>
      <c r="Q27" s="26">
        <v>0.9358</v>
      </c>
      <c r="R27" s="26">
        <v>0.9635</v>
      </c>
      <c r="S27" s="26">
        <v>0.9665</v>
      </c>
      <c r="T27" s="26">
        <v>0.9635</v>
      </c>
      <c r="U27" s="26">
        <v>0.962</v>
      </c>
      <c r="V27" s="26">
        <v>0.9628</v>
      </c>
      <c r="W27" s="32">
        <v>220.0</v>
      </c>
      <c r="X27" s="33">
        <f t="shared" si="3"/>
        <v>319</v>
      </c>
      <c r="Y27" s="34" t="str">
        <f t="shared" si="4"/>
        <v>87</v>
      </c>
    </row>
    <row r="28">
      <c r="B28" s="2">
        <v>1.0</v>
      </c>
      <c r="C28" s="2" t="s">
        <v>122</v>
      </c>
      <c r="D28" s="2">
        <v>1.0</v>
      </c>
      <c r="E28" s="2">
        <v>0.9315</v>
      </c>
      <c r="F28" s="2">
        <v>0.9409</v>
      </c>
      <c r="G28" s="8">
        <v>0.942139</v>
      </c>
      <c r="H28" s="8">
        <v>0.940941</v>
      </c>
      <c r="I28" s="8">
        <v>0.937678</v>
      </c>
      <c r="J28" s="8">
        <v>0.939736</v>
      </c>
      <c r="N28" s="7" t="s">
        <v>266</v>
      </c>
      <c r="O28" s="26" t="s">
        <v>279</v>
      </c>
      <c r="P28" s="28">
        <v>1.0</v>
      </c>
      <c r="Q28" s="26">
        <v>0.9541</v>
      </c>
      <c r="R28" s="26">
        <v>0.9365</v>
      </c>
      <c r="S28" s="26">
        <v>0.9398</v>
      </c>
      <c r="T28" s="26">
        <v>0.9364</v>
      </c>
      <c r="U28" s="26">
        <v>0.9331</v>
      </c>
      <c r="V28" s="26">
        <v>0.9352</v>
      </c>
      <c r="W28" s="32">
        <v>270.0</v>
      </c>
      <c r="X28" s="33">
        <f t="shared" si="3"/>
        <v>378</v>
      </c>
      <c r="Y28" s="34" t="str">
        <f t="shared" si="4"/>
        <v>84</v>
      </c>
    </row>
    <row r="29">
      <c r="B29" s="2">
        <v>2.0</v>
      </c>
      <c r="C29" s="2" t="s">
        <v>279</v>
      </c>
      <c r="D29" s="35">
        <v>1.0</v>
      </c>
      <c r="E29" s="2">
        <v>0.9541</v>
      </c>
      <c r="F29" s="2">
        <v>0.9365</v>
      </c>
      <c r="G29" s="2">
        <v>0.9398</v>
      </c>
      <c r="H29" s="2">
        <v>0.9364</v>
      </c>
      <c r="I29" s="2">
        <v>0.9331</v>
      </c>
      <c r="J29" s="2">
        <v>0.9352</v>
      </c>
      <c r="N29" s="5" t="s">
        <v>280</v>
      </c>
      <c r="O29" s="21" t="s">
        <v>147</v>
      </c>
      <c r="P29" s="21">
        <v>0.9999</v>
      </c>
      <c r="Q29" s="21">
        <v>0.9934</v>
      </c>
      <c r="R29" s="36">
        <v>0.995059</v>
      </c>
      <c r="S29" s="36">
        <v>1.0</v>
      </c>
      <c r="T29" s="36">
        <v>1.0</v>
      </c>
      <c r="U29" s="36">
        <v>1.0</v>
      </c>
      <c r="V29" s="36">
        <v>0.994958</v>
      </c>
      <c r="W29" s="32">
        <v>470.0</v>
      </c>
      <c r="X29" s="33">
        <f t="shared" si="3"/>
        <v>430.8333333</v>
      </c>
      <c r="Y29" s="34" t="str">
        <f t="shared" si="4"/>
        <v>55</v>
      </c>
    </row>
    <row r="30">
      <c r="B30" s="3" t="s">
        <v>268</v>
      </c>
      <c r="C30" s="24">
        <v>79.0</v>
      </c>
      <c r="D30" s="37">
        <f t="shared" ref="D30:J30" si="5">AVERAGEA(D28:D29)</f>
        <v>1</v>
      </c>
      <c r="E30" s="37">
        <f t="shared" si="5"/>
        <v>0.9428</v>
      </c>
      <c r="F30" s="37">
        <f t="shared" si="5"/>
        <v>0.9387</v>
      </c>
      <c r="G30" s="25">
        <f t="shared" si="5"/>
        <v>0.9409695</v>
      </c>
      <c r="H30" s="25">
        <f t="shared" si="5"/>
        <v>0.9386705</v>
      </c>
      <c r="I30" s="25">
        <f t="shared" si="5"/>
        <v>0.935389</v>
      </c>
      <c r="J30" s="25">
        <f t="shared" si="5"/>
        <v>0.937468</v>
      </c>
      <c r="N30" s="5" t="s">
        <v>281</v>
      </c>
      <c r="O30" s="21" t="s">
        <v>152</v>
      </c>
      <c r="P30" s="21">
        <v>0.9832</v>
      </c>
      <c r="Q30" s="21">
        <v>0.1101</v>
      </c>
      <c r="R30" s="36">
        <v>0.117647</v>
      </c>
      <c r="S30" s="36" t="s">
        <v>155</v>
      </c>
      <c r="T30" s="36" t="s">
        <v>155</v>
      </c>
      <c r="U30" s="36" t="s">
        <v>155</v>
      </c>
      <c r="V30" s="36">
        <v>0.09964</v>
      </c>
      <c r="W30" s="32">
        <v>490.0</v>
      </c>
      <c r="X30" s="33">
        <f t="shared" si="3"/>
        <v>367.5</v>
      </c>
      <c r="Y30" s="34" t="str">
        <f t="shared" si="4"/>
        <v>45</v>
      </c>
    </row>
    <row r="31">
      <c r="N31" s="5" t="s">
        <v>282</v>
      </c>
      <c r="O31" s="21" t="s">
        <v>158</v>
      </c>
      <c r="P31" s="21">
        <v>0.9714</v>
      </c>
      <c r="Q31" s="21">
        <v>0.7186</v>
      </c>
      <c r="R31" s="36">
        <v>0.697176</v>
      </c>
      <c r="S31" s="36">
        <v>0.827796</v>
      </c>
      <c r="T31" s="36">
        <v>0.811765</v>
      </c>
      <c r="U31" s="36">
        <v>0.791965</v>
      </c>
      <c r="V31" s="36">
        <v>0.690996</v>
      </c>
      <c r="W31" s="32">
        <v>500.0</v>
      </c>
      <c r="X31" s="33">
        <f t="shared" si="3"/>
        <v>225</v>
      </c>
      <c r="Y31" s="34" t="str">
        <f t="shared" si="4"/>
        <v>27</v>
      </c>
    </row>
    <row r="33">
      <c r="N33" s="7" t="str">
        <f t="array" ref="N33:T36">TRANSPOSE(N5:Q11)</f>
        <v/>
      </c>
      <c r="O33" s="7" t="s">
        <v>3</v>
      </c>
      <c r="P33" s="7" t="s">
        <v>5</v>
      </c>
      <c r="Q33" s="7" t="s">
        <v>6</v>
      </c>
      <c r="R33" s="7" t="s">
        <v>7</v>
      </c>
      <c r="S33" s="7" t="s">
        <v>8</v>
      </c>
      <c r="T33" s="7" t="s">
        <v>9</v>
      </c>
    </row>
    <row r="34">
      <c r="N34" s="7" t="s">
        <v>260</v>
      </c>
      <c r="O34" s="7">
        <v>64.0</v>
      </c>
      <c r="P34" s="7" t="s">
        <v>24</v>
      </c>
      <c r="Q34" s="7">
        <v>0.001</v>
      </c>
      <c r="R34" s="7" t="s">
        <v>25</v>
      </c>
      <c r="S34" s="7">
        <v>0.01</v>
      </c>
      <c r="T34" s="7" t="s">
        <v>33</v>
      </c>
    </row>
    <row r="35">
      <c r="N35" s="7" t="s">
        <v>265</v>
      </c>
      <c r="O35" s="7">
        <v>32.0</v>
      </c>
      <c r="P35" s="7" t="s">
        <v>24</v>
      </c>
      <c r="Q35" s="7">
        <v>5.0E-4</v>
      </c>
      <c r="R35" s="7" t="s">
        <v>69</v>
      </c>
      <c r="S35" s="7">
        <v>0.025</v>
      </c>
      <c r="T35" s="7" t="s">
        <v>33</v>
      </c>
    </row>
    <row r="36">
      <c r="N36" s="7" t="s">
        <v>266</v>
      </c>
      <c r="O36" s="7">
        <v>64.0</v>
      </c>
      <c r="P36" s="7" t="s">
        <v>80</v>
      </c>
      <c r="Q36" s="7">
        <v>5.0E-4</v>
      </c>
      <c r="R36" s="7" t="s">
        <v>60</v>
      </c>
      <c r="S36" s="7">
        <v>0.05</v>
      </c>
      <c r="T36" s="7" t="s">
        <v>33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25"/>
    <col customWidth="1" min="3" max="3" width="20.25"/>
    <col customWidth="1" min="6" max="6" width="10.38"/>
    <col customWidth="1" min="7" max="7" width="15.25"/>
    <col customWidth="1" min="8" max="8" width="16.75"/>
    <col customWidth="1" min="13" max="13" width="14.88"/>
    <col customWidth="1" min="20" max="20" width="15.75"/>
  </cols>
  <sheetData>
    <row r="1">
      <c r="A1" s="1" t="s">
        <v>283</v>
      </c>
    </row>
    <row r="2">
      <c r="A2" s="2"/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</row>
    <row r="3">
      <c r="B3" s="5" t="s">
        <v>284</v>
      </c>
      <c r="C3" s="5" t="s">
        <v>22</v>
      </c>
      <c r="D3" s="5">
        <v>64.0</v>
      </c>
      <c r="E3" s="5" t="s">
        <v>23</v>
      </c>
      <c r="F3" s="5" t="s">
        <v>24</v>
      </c>
      <c r="G3" s="5">
        <v>0.001</v>
      </c>
      <c r="H3" s="5" t="s">
        <v>25</v>
      </c>
      <c r="I3" s="5">
        <v>0.01</v>
      </c>
      <c r="J3" s="5" t="s">
        <v>33</v>
      </c>
      <c r="K3" s="5" t="s">
        <v>285</v>
      </c>
      <c r="L3" s="5" t="s">
        <v>27</v>
      </c>
      <c r="M3" s="5" t="s">
        <v>28</v>
      </c>
      <c r="N3" s="5">
        <v>0.9999</v>
      </c>
      <c r="O3" s="5">
        <v>0.9602</v>
      </c>
      <c r="P3" s="5">
        <v>0.9699</v>
      </c>
      <c r="Q3" s="6">
        <v>0.966614</v>
      </c>
      <c r="R3" s="6">
        <v>0.948268</v>
      </c>
      <c r="S3" s="6">
        <v>0.956848</v>
      </c>
      <c r="T3" s="6">
        <v>0.951817</v>
      </c>
    </row>
    <row r="4">
      <c r="B4" s="5" t="s">
        <v>286</v>
      </c>
      <c r="C4" s="5" t="s">
        <v>22</v>
      </c>
      <c r="D4" s="5">
        <v>64.0</v>
      </c>
      <c r="E4" s="5" t="s">
        <v>23</v>
      </c>
      <c r="F4" s="5" t="s">
        <v>24</v>
      </c>
      <c r="G4" s="5">
        <v>0.001</v>
      </c>
      <c r="H4" s="5" t="s">
        <v>25</v>
      </c>
      <c r="I4" s="5">
        <v>0.01</v>
      </c>
      <c r="J4" s="5" t="s">
        <v>33</v>
      </c>
      <c r="K4" s="5" t="s">
        <v>287</v>
      </c>
      <c r="L4" s="5" t="s">
        <v>27</v>
      </c>
      <c r="M4" s="5" t="s">
        <v>28</v>
      </c>
      <c r="N4" s="5">
        <v>1.0</v>
      </c>
      <c r="O4" s="5">
        <v>0.9795</v>
      </c>
      <c r="P4" s="5">
        <v>0.9944</v>
      </c>
      <c r="Q4" s="6">
        <v>0.9915</v>
      </c>
      <c r="R4" s="6">
        <v>0.9952</v>
      </c>
      <c r="S4" s="6">
        <v>0.9933</v>
      </c>
      <c r="T4" s="6">
        <v>0.991</v>
      </c>
    </row>
    <row r="5">
      <c r="B5" s="5" t="s">
        <v>288</v>
      </c>
      <c r="C5" s="5" t="s">
        <v>49</v>
      </c>
      <c r="D5" s="5">
        <v>32.0</v>
      </c>
      <c r="E5" s="5" t="s">
        <v>50</v>
      </c>
      <c r="F5" s="5" t="s">
        <v>24</v>
      </c>
      <c r="G5" s="5">
        <v>5.0E-4</v>
      </c>
      <c r="H5" s="5" t="s">
        <v>69</v>
      </c>
      <c r="I5" s="5">
        <v>0.025</v>
      </c>
      <c r="J5" s="5" t="s">
        <v>33</v>
      </c>
      <c r="K5" s="5" t="s">
        <v>289</v>
      </c>
      <c r="L5" s="5" t="s">
        <v>51</v>
      </c>
      <c r="M5" s="5" t="s">
        <v>52</v>
      </c>
      <c r="N5" s="5">
        <v>0.9996</v>
      </c>
      <c r="O5" s="5">
        <v>0.9828</v>
      </c>
      <c r="P5" s="5">
        <v>0.9854</v>
      </c>
      <c r="Q5" s="6">
        <v>0.989866</v>
      </c>
      <c r="R5" s="6">
        <v>0.980237</v>
      </c>
      <c r="S5" s="6">
        <v>0.984774</v>
      </c>
      <c r="T5" s="6">
        <v>0.97672</v>
      </c>
    </row>
    <row r="6">
      <c r="B6" s="5" t="s">
        <v>290</v>
      </c>
      <c r="C6" s="5" t="s">
        <v>78</v>
      </c>
      <c r="D6" s="5">
        <v>64.0</v>
      </c>
      <c r="E6" s="5" t="s">
        <v>79</v>
      </c>
      <c r="F6" s="5" t="s">
        <v>80</v>
      </c>
      <c r="G6" s="5">
        <v>5.0E-4</v>
      </c>
      <c r="H6" s="5" t="s">
        <v>60</v>
      </c>
      <c r="I6" s="5">
        <v>0.05</v>
      </c>
      <c r="J6" s="5" t="s">
        <v>33</v>
      </c>
      <c r="K6" s="5" t="s">
        <v>291</v>
      </c>
      <c r="L6" s="5" t="s">
        <v>115</v>
      </c>
      <c r="M6" s="5" t="s">
        <v>104</v>
      </c>
      <c r="N6" s="5">
        <v>0.9634</v>
      </c>
      <c r="O6" s="5">
        <v>0.9174</v>
      </c>
      <c r="P6" s="5">
        <v>0.9365</v>
      </c>
      <c r="Q6" s="6">
        <v>0.937807</v>
      </c>
      <c r="R6" s="6">
        <v>0.9354</v>
      </c>
      <c r="S6" s="6">
        <v>0.934519</v>
      </c>
      <c r="T6" s="6">
        <v>0.899124</v>
      </c>
    </row>
    <row r="7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38"/>
      <c r="R7" s="38"/>
      <c r="S7" s="38"/>
      <c r="T7" s="38"/>
    </row>
    <row r="8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38"/>
      <c r="R8" s="38"/>
      <c r="S8" s="38"/>
      <c r="T8" s="38"/>
    </row>
    <row r="9">
      <c r="B9" s="5" t="s">
        <v>292</v>
      </c>
      <c r="C9" s="5" t="s">
        <v>128</v>
      </c>
      <c r="D9" s="5">
        <v>64.0</v>
      </c>
      <c r="E9" s="5" t="s">
        <v>293</v>
      </c>
      <c r="F9" s="5" t="s">
        <v>24</v>
      </c>
      <c r="G9" s="5">
        <v>0.001</v>
      </c>
      <c r="H9" s="5" t="s">
        <v>25</v>
      </c>
      <c r="I9" s="5">
        <v>0.01</v>
      </c>
      <c r="J9" s="5" t="s">
        <v>33</v>
      </c>
      <c r="K9" s="5" t="s">
        <v>294</v>
      </c>
      <c r="L9" s="5" t="s">
        <v>295</v>
      </c>
      <c r="M9" s="5" t="s">
        <v>132</v>
      </c>
      <c r="N9" s="5">
        <v>0.9997</v>
      </c>
      <c r="O9" s="5">
        <v>0.9849</v>
      </c>
      <c r="P9" s="5">
        <v>0.9939</v>
      </c>
      <c r="Q9" s="6">
        <v>0.995423</v>
      </c>
      <c r="R9" s="6">
        <v>0.993268</v>
      </c>
      <c r="S9" s="6">
        <v>0.994317</v>
      </c>
      <c r="T9" s="6">
        <v>0.990238</v>
      </c>
    </row>
    <row r="10">
      <c r="B10" s="5" t="s">
        <v>296</v>
      </c>
      <c r="C10" s="5" t="s">
        <v>134</v>
      </c>
      <c r="D10" s="5">
        <v>16.0</v>
      </c>
      <c r="E10" s="5" t="s">
        <v>297</v>
      </c>
      <c r="F10" s="5" t="s">
        <v>24</v>
      </c>
      <c r="G10" s="5">
        <v>5.0E-4</v>
      </c>
      <c r="H10" s="5" t="s">
        <v>69</v>
      </c>
      <c r="I10" s="5">
        <v>0.025</v>
      </c>
      <c r="J10" s="5" t="s">
        <v>33</v>
      </c>
      <c r="K10" s="5" t="s">
        <v>285</v>
      </c>
      <c r="L10" s="5" t="s">
        <v>298</v>
      </c>
      <c r="M10" s="5" t="s">
        <v>138</v>
      </c>
      <c r="N10" s="5">
        <v>0.9975</v>
      </c>
      <c r="O10" s="5">
        <v>0.4438</v>
      </c>
      <c r="P10" s="5">
        <v>0.4711</v>
      </c>
      <c r="Q10" s="6">
        <v>0.552224</v>
      </c>
      <c r="R10" s="6">
        <v>0.534199</v>
      </c>
      <c r="S10" s="6">
        <v>0.453393</v>
      </c>
      <c r="T10" s="6">
        <v>0.214327</v>
      </c>
    </row>
    <row r="11">
      <c r="B11" s="5" t="s">
        <v>299</v>
      </c>
      <c r="C11" s="5" t="s">
        <v>140</v>
      </c>
      <c r="D11" s="5">
        <v>32.0</v>
      </c>
      <c r="E11" s="5" t="s">
        <v>141</v>
      </c>
      <c r="F11" s="5" t="s">
        <v>80</v>
      </c>
      <c r="G11" s="5">
        <v>5.0E-4</v>
      </c>
      <c r="H11" s="5" t="s">
        <v>60</v>
      </c>
      <c r="I11" s="5">
        <v>0.05</v>
      </c>
      <c r="J11" s="5" t="s">
        <v>33</v>
      </c>
      <c r="K11" s="5" t="s">
        <v>300</v>
      </c>
      <c r="L11" s="5" t="s">
        <v>143</v>
      </c>
      <c r="M11" s="5" t="s">
        <v>301</v>
      </c>
      <c r="N11" s="5">
        <v>0.9884</v>
      </c>
      <c r="O11" s="5">
        <v>0.8965</v>
      </c>
      <c r="P11" s="5">
        <v>0.8976</v>
      </c>
      <c r="Q11" s="6">
        <v>0.919649</v>
      </c>
      <c r="R11" s="6">
        <v>0.801389</v>
      </c>
      <c r="S11" s="6">
        <v>0.846215</v>
      </c>
      <c r="T11" s="6">
        <v>0.832286</v>
      </c>
    </row>
    <row r="14">
      <c r="B14" s="5" t="s">
        <v>302</v>
      </c>
      <c r="C14" s="5" t="s">
        <v>22</v>
      </c>
      <c r="D14" s="5">
        <v>64.0</v>
      </c>
      <c r="E14" s="5" t="s">
        <v>303</v>
      </c>
      <c r="F14" s="5" t="s">
        <v>24</v>
      </c>
      <c r="G14" s="5">
        <v>0.001</v>
      </c>
      <c r="H14" s="5" t="s">
        <v>25</v>
      </c>
      <c r="I14" s="5">
        <v>0.01</v>
      </c>
      <c r="J14" s="5" t="s">
        <v>33</v>
      </c>
      <c r="K14" s="5" t="s">
        <v>304</v>
      </c>
      <c r="L14" s="5" t="s">
        <v>153</v>
      </c>
      <c r="M14" s="5" t="s">
        <v>149</v>
      </c>
      <c r="N14" s="5">
        <v>0.9996</v>
      </c>
      <c r="O14" s="5">
        <v>0.9864</v>
      </c>
      <c r="P14" s="5">
        <v>0.9962</v>
      </c>
      <c r="Q14" s="5">
        <v>0.9975</v>
      </c>
      <c r="R14" s="5">
        <v>0.9948</v>
      </c>
      <c r="S14" s="5">
        <v>0.9961</v>
      </c>
      <c r="T14" s="5">
        <v>0.9939</v>
      </c>
    </row>
    <row r="15">
      <c r="B15" s="5" t="s">
        <v>305</v>
      </c>
      <c r="C15" s="5" t="s">
        <v>49</v>
      </c>
      <c r="D15" s="5">
        <v>32.0</v>
      </c>
      <c r="E15" s="5" t="s">
        <v>306</v>
      </c>
      <c r="F15" s="5" t="s">
        <v>24</v>
      </c>
      <c r="G15" s="5">
        <v>5.0E-4</v>
      </c>
      <c r="H15" s="5" t="s">
        <v>69</v>
      </c>
      <c r="I15" s="5">
        <v>0.025</v>
      </c>
      <c r="J15" s="5" t="s">
        <v>33</v>
      </c>
      <c r="K15" s="5" t="s">
        <v>34</v>
      </c>
      <c r="L15" s="5" t="s">
        <v>159</v>
      </c>
      <c r="M15" s="5" t="s">
        <v>154</v>
      </c>
      <c r="N15" s="5">
        <v>0.9995</v>
      </c>
      <c r="O15" s="5">
        <v>0.5118</v>
      </c>
      <c r="P15" s="5">
        <v>0.5118</v>
      </c>
      <c r="Q15" s="5" t="s">
        <v>307</v>
      </c>
      <c r="R15" s="5">
        <v>0.2721</v>
      </c>
      <c r="S15" s="5" t="s">
        <v>307</v>
      </c>
      <c r="T15" s="5">
        <v>0.0721</v>
      </c>
    </row>
    <row r="16">
      <c r="B16" s="5" t="s">
        <v>308</v>
      </c>
      <c r="C16" s="5" t="s">
        <v>78</v>
      </c>
      <c r="D16" s="5">
        <v>64.0</v>
      </c>
      <c r="E16" s="5" t="s">
        <v>309</v>
      </c>
      <c r="F16" s="5" t="s">
        <v>80</v>
      </c>
      <c r="G16" s="5">
        <v>5.0E-4</v>
      </c>
      <c r="H16" s="5" t="s">
        <v>60</v>
      </c>
      <c r="I16" s="5">
        <v>0.05</v>
      </c>
      <c r="J16" s="5" t="s">
        <v>33</v>
      </c>
      <c r="K16" s="5" t="s">
        <v>158</v>
      </c>
      <c r="L16" s="5" t="s">
        <v>310</v>
      </c>
      <c r="M16" s="5" t="s">
        <v>160</v>
      </c>
      <c r="N16" s="5">
        <v>0.9852</v>
      </c>
      <c r="O16" s="5">
        <v>0.8416</v>
      </c>
      <c r="P16" s="5">
        <v>0.8598</v>
      </c>
      <c r="Q16" s="5">
        <v>0.8835</v>
      </c>
      <c r="R16" s="5">
        <v>0.769</v>
      </c>
      <c r="S16" s="5">
        <v>0.8049</v>
      </c>
      <c r="T16" s="5">
        <v>0.7716</v>
      </c>
    </row>
    <row r="19">
      <c r="K19" s="39" t="s">
        <v>174</v>
      </c>
      <c r="L19" s="40" t="s">
        <v>10</v>
      </c>
      <c r="M19" s="39" t="s">
        <v>276</v>
      </c>
      <c r="N19" s="2" t="s">
        <v>311</v>
      </c>
    </row>
    <row r="20">
      <c r="K20" s="41" t="s">
        <v>260</v>
      </c>
      <c r="L20" s="42" t="s">
        <v>287</v>
      </c>
      <c r="M20" s="43">
        <v>180.0</v>
      </c>
      <c r="N20" s="44">
        <f t="shared" ref="N20:N25" si="1">M20*value(left(L20,2))/60</f>
        <v>129</v>
      </c>
    </row>
    <row r="21">
      <c r="K21" s="41" t="s">
        <v>261</v>
      </c>
      <c r="L21" s="45" t="s">
        <v>289</v>
      </c>
      <c r="M21" s="43">
        <v>220.0</v>
      </c>
      <c r="N21" s="44">
        <f t="shared" si="1"/>
        <v>205.3333333</v>
      </c>
    </row>
    <row r="22">
      <c r="K22" s="41" t="s">
        <v>262</v>
      </c>
      <c r="L22" s="45" t="s">
        <v>291</v>
      </c>
      <c r="M22" s="43">
        <v>240.0</v>
      </c>
      <c r="N22" s="44">
        <f t="shared" si="1"/>
        <v>144</v>
      </c>
    </row>
    <row r="23">
      <c r="K23" s="41" t="s">
        <v>280</v>
      </c>
      <c r="L23" s="45" t="s">
        <v>304</v>
      </c>
      <c r="M23" s="43">
        <v>490.0</v>
      </c>
      <c r="N23" s="44">
        <f t="shared" si="1"/>
        <v>310.3333333</v>
      </c>
    </row>
    <row r="24">
      <c r="K24" s="41" t="s">
        <v>281</v>
      </c>
      <c r="L24" s="45" t="s">
        <v>34</v>
      </c>
      <c r="M24" s="43">
        <v>500.0</v>
      </c>
      <c r="N24" s="44">
        <f t="shared" si="1"/>
        <v>333.3333333</v>
      </c>
    </row>
    <row r="25">
      <c r="K25" s="41" t="s">
        <v>282</v>
      </c>
      <c r="L25" s="45" t="s">
        <v>158</v>
      </c>
      <c r="M25" s="43">
        <v>510.0</v>
      </c>
      <c r="N25" s="44">
        <f t="shared" si="1"/>
        <v>229.5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38"/>
    <col customWidth="1" min="3" max="3" width="20.13"/>
    <col customWidth="1" min="8" max="8" width="18.25"/>
    <col customWidth="1" min="13" max="13" width="13.75"/>
    <col customWidth="1" min="20" max="20" width="15.13"/>
  </cols>
  <sheetData>
    <row r="1">
      <c r="A1" s="46" t="s">
        <v>283</v>
      </c>
    </row>
    <row r="2">
      <c r="A2" s="2"/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</row>
    <row r="3">
      <c r="B3" s="5" t="s">
        <v>312</v>
      </c>
      <c r="C3" s="5" t="s">
        <v>22</v>
      </c>
      <c r="D3" s="5">
        <v>64.0</v>
      </c>
      <c r="E3" s="5" t="s">
        <v>23</v>
      </c>
      <c r="F3" s="5" t="s">
        <v>24</v>
      </c>
      <c r="G3" s="5">
        <v>0.001</v>
      </c>
      <c r="H3" s="5" t="s">
        <v>25</v>
      </c>
      <c r="I3" s="5">
        <v>0.01</v>
      </c>
      <c r="J3" s="5" t="s">
        <v>33</v>
      </c>
      <c r="K3" s="5" t="s">
        <v>294</v>
      </c>
      <c r="L3" s="5" t="s">
        <v>27</v>
      </c>
      <c r="M3" s="5" t="s">
        <v>28</v>
      </c>
      <c r="N3" s="5">
        <v>0.9996</v>
      </c>
      <c r="O3" s="5">
        <v>0.9953</v>
      </c>
      <c r="P3" s="5">
        <v>0.9941</v>
      </c>
      <c r="Q3" s="6">
        <v>0.993082</v>
      </c>
      <c r="R3" s="6">
        <v>0.993002</v>
      </c>
      <c r="S3" s="6">
        <v>0.993026</v>
      </c>
      <c r="T3" s="6">
        <v>0.991481</v>
      </c>
    </row>
    <row r="4">
      <c r="B4" s="5" t="s">
        <v>313</v>
      </c>
      <c r="C4" s="5" t="s">
        <v>49</v>
      </c>
      <c r="D4" s="5">
        <v>32.0</v>
      </c>
      <c r="E4" s="5" t="s">
        <v>50</v>
      </c>
      <c r="F4" s="5" t="s">
        <v>24</v>
      </c>
      <c r="G4" s="5">
        <v>5.0E-4</v>
      </c>
      <c r="H4" s="5" t="s">
        <v>69</v>
      </c>
      <c r="I4" s="5">
        <v>0.025</v>
      </c>
      <c r="J4" s="5" t="s">
        <v>33</v>
      </c>
      <c r="K4" s="5" t="s">
        <v>63</v>
      </c>
      <c r="L4" s="5" t="s">
        <v>51</v>
      </c>
      <c r="M4" s="5" t="s">
        <v>52</v>
      </c>
      <c r="N4" s="5">
        <v>0.9994</v>
      </c>
      <c r="O4" s="5">
        <v>0.9995</v>
      </c>
      <c r="P4" s="5">
        <v>0.9967</v>
      </c>
      <c r="Q4" s="6">
        <v>0.995548</v>
      </c>
      <c r="R4" s="6">
        <v>0.995302</v>
      </c>
      <c r="S4" s="6">
        <v>0.995405</v>
      </c>
      <c r="T4" s="6">
        <v>0.995228</v>
      </c>
    </row>
    <row r="5">
      <c r="B5" s="5" t="s">
        <v>314</v>
      </c>
      <c r="C5" s="5" t="s">
        <v>78</v>
      </c>
      <c r="D5" s="5">
        <v>64.0</v>
      </c>
      <c r="E5" s="5" t="s">
        <v>79</v>
      </c>
      <c r="F5" s="5" t="s">
        <v>80</v>
      </c>
      <c r="G5" s="5">
        <v>5.0E-4</v>
      </c>
      <c r="H5" s="5" t="s">
        <v>60</v>
      </c>
      <c r="I5" s="5">
        <v>0.05</v>
      </c>
      <c r="J5" s="5" t="s">
        <v>33</v>
      </c>
      <c r="K5" s="5" t="s">
        <v>130</v>
      </c>
      <c r="L5" s="5" t="s">
        <v>115</v>
      </c>
      <c r="M5" s="5" t="s">
        <v>104</v>
      </c>
      <c r="N5" s="5">
        <v>0.9839</v>
      </c>
      <c r="O5" s="5">
        <v>0.9621</v>
      </c>
      <c r="P5" s="5">
        <v>0.9268</v>
      </c>
      <c r="Q5" s="6">
        <v>0.917802</v>
      </c>
      <c r="R5" s="6">
        <v>0.901369</v>
      </c>
      <c r="S5" s="6">
        <v>0.908612</v>
      </c>
      <c r="T5" s="6">
        <v>0.893162</v>
      </c>
    </row>
    <row r="6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47"/>
      <c r="R6" s="47"/>
      <c r="S6" s="47"/>
      <c r="T6" s="47"/>
    </row>
    <row r="7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47"/>
      <c r="R7" s="47"/>
      <c r="S7" s="47"/>
      <c r="T7" s="47"/>
    </row>
    <row r="8">
      <c r="B8" s="5" t="s">
        <v>315</v>
      </c>
      <c r="C8" s="5" t="s">
        <v>128</v>
      </c>
      <c r="D8" s="5">
        <v>64.0</v>
      </c>
      <c r="E8" s="5" t="s">
        <v>293</v>
      </c>
      <c r="F8" s="5" t="s">
        <v>24</v>
      </c>
      <c r="G8" s="5">
        <v>0.001</v>
      </c>
      <c r="H8" s="5" t="s">
        <v>25</v>
      </c>
      <c r="I8" s="5">
        <v>0.01</v>
      </c>
      <c r="J8" s="5" t="s">
        <v>33</v>
      </c>
      <c r="K8" s="5" t="s">
        <v>117</v>
      </c>
      <c r="L8" s="5" t="s">
        <v>310</v>
      </c>
      <c r="M8" s="5" t="s">
        <v>132</v>
      </c>
      <c r="N8" s="5">
        <v>0.9996</v>
      </c>
      <c r="O8" s="5">
        <v>0.9944</v>
      </c>
      <c r="P8" s="5">
        <v>0.992</v>
      </c>
      <c r="Q8" s="6">
        <v>0.993284</v>
      </c>
      <c r="R8" s="6">
        <v>0.988181</v>
      </c>
      <c r="S8" s="6">
        <v>0.99067</v>
      </c>
      <c r="T8" s="6">
        <v>0.988387</v>
      </c>
    </row>
    <row r="9">
      <c r="B9" s="5" t="s">
        <v>316</v>
      </c>
      <c r="C9" s="5" t="s">
        <v>134</v>
      </c>
      <c r="D9" s="5">
        <v>16.0</v>
      </c>
      <c r="E9" s="5" t="s">
        <v>297</v>
      </c>
      <c r="F9" s="5" t="s">
        <v>24</v>
      </c>
      <c r="G9" s="5">
        <v>5.0E-4</v>
      </c>
      <c r="H9" s="5" t="s">
        <v>69</v>
      </c>
      <c r="I9" s="5">
        <v>0.025</v>
      </c>
      <c r="J9" s="5" t="s">
        <v>33</v>
      </c>
      <c r="K9" s="5" t="s">
        <v>63</v>
      </c>
      <c r="L9" s="5" t="s">
        <v>317</v>
      </c>
      <c r="M9" s="5" t="s">
        <v>138</v>
      </c>
      <c r="N9" s="5">
        <v>0.9993</v>
      </c>
      <c r="O9" s="5">
        <v>0.9461</v>
      </c>
      <c r="P9" s="5">
        <v>0.904</v>
      </c>
      <c r="Q9" s="6">
        <v>0.929246</v>
      </c>
      <c r="R9" s="6">
        <v>0.85674</v>
      </c>
      <c r="S9" s="6">
        <v>0.877059</v>
      </c>
      <c r="T9" s="6">
        <v>0.857567</v>
      </c>
    </row>
    <row r="10">
      <c r="B10" s="5" t="s">
        <v>318</v>
      </c>
      <c r="C10" s="5" t="s">
        <v>140</v>
      </c>
      <c r="D10" s="5">
        <v>32.0</v>
      </c>
      <c r="E10" s="5" t="s">
        <v>141</v>
      </c>
      <c r="F10" s="5" t="s">
        <v>80</v>
      </c>
      <c r="G10" s="5">
        <v>5.0E-4</v>
      </c>
      <c r="H10" s="5" t="s">
        <v>60</v>
      </c>
      <c r="I10" s="5">
        <v>0.05</v>
      </c>
      <c r="J10" s="5" t="s">
        <v>33</v>
      </c>
      <c r="K10" s="5" t="s">
        <v>136</v>
      </c>
      <c r="L10" s="5" t="s">
        <v>319</v>
      </c>
      <c r="M10" s="5" t="s">
        <v>301</v>
      </c>
      <c r="N10" s="5">
        <v>0.9444</v>
      </c>
      <c r="O10" s="5">
        <v>0.6958</v>
      </c>
      <c r="P10" s="5">
        <v>0.7019</v>
      </c>
      <c r="Q10" s="6">
        <v>0.67021</v>
      </c>
      <c r="R10" s="6">
        <v>0.679579</v>
      </c>
      <c r="S10" s="6">
        <v>0.672667</v>
      </c>
      <c r="T10" s="6">
        <v>0.5752</v>
      </c>
    </row>
  </sheetData>
  <drawing r:id="rId1"/>
</worksheet>
</file>